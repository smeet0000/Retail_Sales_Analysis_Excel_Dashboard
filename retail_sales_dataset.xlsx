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S:\FTN_Project\"/>
    </mc:Choice>
  </mc:AlternateContent>
  <xr:revisionPtr revIDLastSave="0" documentId="13_ncr:1_{9616AA40-FDB6-4406-954B-50D76E20ECA6}" xr6:coauthVersionLast="47" xr6:coauthVersionMax="47" xr10:uidLastSave="{00000000-0000-0000-0000-000000000000}"/>
  <bookViews>
    <workbookView xWindow="-108" yWindow="-108" windowWidth="23256" windowHeight="12456" firstSheet="1" activeTab="4" xr2:uid="{00000000-000D-0000-FFFF-FFFF00000000}"/>
  </bookViews>
  <sheets>
    <sheet name="Pivot_Table_1" sheetId="3" r:id="rId1"/>
    <sheet name="Pivot_Table_2" sheetId="5" r:id="rId2"/>
    <sheet name="Dashboard_2" sheetId="6" r:id="rId3"/>
    <sheet name="Pivot_Table-3" sheetId="8" r:id="rId4"/>
    <sheet name="DashBoard-3" sheetId="9" r:id="rId5"/>
    <sheet name="RetailSales" sheetId="1" r:id="rId6"/>
    <sheet name="Sheet1" sheetId="2" r:id="rId7"/>
    <sheet name="Dashboard_1" sheetId="4" r:id="rId8"/>
  </sheets>
  <definedNames>
    <definedName name="Slicer_Category">#N/A</definedName>
    <definedName name="Slicer_Category1">#N/A</definedName>
    <definedName name="Slicer_Customer_Type">#N/A</definedName>
    <definedName name="Slicer_Region">#N/A</definedName>
    <definedName name="Slicer_Salesperson">#N/A</definedName>
    <definedName name="Slicer_Salesperson1">#N/A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M3" i="1"/>
  <c r="K2" i="1"/>
  <c r="K3" i="1"/>
  <c r="L3" i="1" s="1"/>
  <c r="K4" i="1"/>
  <c r="L4" i="1" s="1"/>
  <c r="K5" i="1"/>
  <c r="L5" i="1" s="1"/>
  <c r="K6" i="1"/>
  <c r="K7" i="1"/>
  <c r="L7" i="1" s="1"/>
  <c r="K8" i="1"/>
  <c r="L8" i="1" s="1"/>
  <c r="K9" i="1"/>
  <c r="L9" i="1" s="1"/>
  <c r="K10" i="1"/>
  <c r="L10" i="1" s="1"/>
  <c r="K11" i="1"/>
  <c r="L11" i="1" s="1"/>
  <c r="K12" i="1"/>
  <c r="L12" i="1" s="1"/>
  <c r="K13" i="1"/>
  <c r="L13" i="1" s="1"/>
  <c r="K14" i="1"/>
  <c r="K15" i="1"/>
  <c r="L15" i="1" s="1"/>
  <c r="M15" i="1" s="1"/>
  <c r="K16" i="1"/>
  <c r="K17" i="1"/>
  <c r="L17" i="1" s="1"/>
  <c r="K18" i="1"/>
  <c r="L18" i="1" s="1"/>
  <c r="K19" i="1"/>
  <c r="K20" i="1"/>
  <c r="L20" i="1" s="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6" i="1"/>
  <c r="L36" i="1" s="1"/>
  <c r="K37" i="1"/>
  <c r="L37" i="1" s="1"/>
  <c r="K38" i="1"/>
  <c r="L38" i="1" s="1"/>
  <c r="M38" i="1" s="1"/>
  <c r="K39" i="1"/>
  <c r="L39" i="1" s="1"/>
  <c r="K40" i="1"/>
  <c r="K41" i="1"/>
  <c r="L41" i="1" s="1"/>
  <c r="K42" i="1"/>
  <c r="K43" i="1"/>
  <c r="L43" i="1" s="1"/>
  <c r="K44" i="1"/>
  <c r="L44" i="1" s="1"/>
  <c r="K45" i="1"/>
  <c r="L45" i="1" s="1"/>
  <c r="K46" i="1"/>
  <c r="L46" i="1" s="1"/>
  <c r="K47" i="1"/>
  <c r="L47" i="1" s="1"/>
  <c r="K48" i="1"/>
  <c r="L48" i="1" s="1"/>
  <c r="K49" i="1"/>
  <c r="L49" i="1" s="1"/>
  <c r="K50" i="1"/>
  <c r="K51" i="1"/>
  <c r="L51" i="1" s="1"/>
  <c r="M51" i="1" s="1"/>
  <c r="K52" i="1"/>
  <c r="K53" i="1"/>
  <c r="L53" i="1" s="1"/>
  <c r="K54" i="1"/>
  <c r="K55" i="1"/>
  <c r="L55" i="1" s="1"/>
  <c r="K56" i="1"/>
  <c r="L56" i="1" s="1"/>
  <c r="K57" i="1"/>
  <c r="L57" i="1" s="1"/>
  <c r="K58" i="1"/>
  <c r="L58" i="1" s="1"/>
  <c r="K59" i="1"/>
  <c r="L59" i="1" s="1"/>
  <c r="K60" i="1"/>
  <c r="L60" i="1" s="1"/>
  <c r="K61" i="1"/>
  <c r="L61" i="1" s="1"/>
  <c r="K62" i="1"/>
  <c r="L62" i="1" s="1"/>
  <c r="M62" i="1" s="1"/>
  <c r="K63" i="1"/>
  <c r="L63" i="1" s="1"/>
  <c r="M63" i="1" s="1"/>
  <c r="K64" i="1"/>
  <c r="L64" i="1" s="1"/>
  <c r="K65" i="1"/>
  <c r="K66" i="1"/>
  <c r="L66" i="1" s="1"/>
  <c r="K67" i="1"/>
  <c r="L67" i="1" s="1"/>
  <c r="K68" i="1"/>
  <c r="L68" i="1" s="1"/>
  <c r="K69" i="1"/>
  <c r="K70" i="1"/>
  <c r="L70" i="1" s="1"/>
  <c r="K71" i="1"/>
  <c r="L71" i="1" s="1"/>
  <c r="K72" i="1"/>
  <c r="L72" i="1" s="1"/>
  <c r="K73" i="1"/>
  <c r="L73" i="1" s="1"/>
  <c r="K74" i="1"/>
  <c r="K75" i="1"/>
  <c r="L75" i="1" s="1"/>
  <c r="M75" i="1" s="1"/>
  <c r="K76" i="1"/>
  <c r="L76" i="1" s="1"/>
  <c r="K77" i="1"/>
  <c r="L77" i="1" s="1"/>
  <c r="K78" i="1"/>
  <c r="L78" i="1" s="1"/>
  <c r="K79" i="1"/>
  <c r="L79" i="1" s="1"/>
  <c r="K80" i="1"/>
  <c r="L80" i="1" s="1"/>
  <c r="K81" i="1"/>
  <c r="L81" i="1" s="1"/>
  <c r="K82" i="1"/>
  <c r="L82" i="1" s="1"/>
  <c r="K83" i="1"/>
  <c r="K84" i="1"/>
  <c r="L84" i="1" s="1"/>
  <c r="K85" i="1"/>
  <c r="L85" i="1" s="1"/>
  <c r="K86" i="1"/>
  <c r="L86" i="1" s="1"/>
  <c r="M86" i="1" s="1"/>
  <c r="K87" i="1"/>
  <c r="L87" i="1" s="1"/>
  <c r="M87" i="1" s="1"/>
  <c r="K88" i="1"/>
  <c r="K89" i="1"/>
  <c r="L89" i="1" s="1"/>
  <c r="K90" i="1"/>
  <c r="L90" i="1" s="1"/>
  <c r="K91" i="1"/>
  <c r="L91" i="1" s="1"/>
  <c r="K92" i="1"/>
  <c r="L92" i="1" s="1"/>
  <c r="K93" i="1"/>
  <c r="L93" i="1" s="1"/>
  <c r="K94" i="1"/>
  <c r="L94" i="1" s="1"/>
  <c r="K95" i="1"/>
  <c r="L95" i="1" s="1"/>
  <c r="K96" i="1"/>
  <c r="L96" i="1" s="1"/>
  <c r="K97" i="1"/>
  <c r="L97" i="1" s="1"/>
  <c r="K98" i="1"/>
  <c r="K99" i="1"/>
  <c r="L99" i="1" s="1"/>
  <c r="K100" i="1"/>
  <c r="L100" i="1" s="1"/>
  <c r="K101" i="1"/>
  <c r="L101" i="1" s="1"/>
  <c r="K102" i="1"/>
  <c r="K103" i="1"/>
  <c r="L103" i="1" s="1"/>
  <c r="K104" i="1"/>
  <c r="L104" i="1" s="1"/>
  <c r="K105" i="1"/>
  <c r="L105" i="1" s="1"/>
  <c r="K106" i="1"/>
  <c r="K107" i="1"/>
  <c r="L107" i="1" s="1"/>
  <c r="K108" i="1"/>
  <c r="K109" i="1"/>
  <c r="L109" i="1" s="1"/>
  <c r="K110" i="1"/>
  <c r="K111" i="1"/>
  <c r="L111" i="1" s="1"/>
  <c r="M111" i="1" s="1"/>
  <c r="K112" i="1"/>
  <c r="L112" i="1" s="1"/>
  <c r="K113" i="1"/>
  <c r="L113" i="1" s="1"/>
  <c r="K114" i="1"/>
  <c r="K115" i="1"/>
  <c r="L115" i="1" s="1"/>
  <c r="K116" i="1"/>
  <c r="L116" i="1" s="1"/>
  <c r="K117" i="1"/>
  <c r="L117" i="1" s="1"/>
  <c r="K118" i="1"/>
  <c r="L118" i="1" s="1"/>
  <c r="K119" i="1"/>
  <c r="L119" i="1" s="1"/>
  <c r="K120" i="1"/>
  <c r="L120" i="1" s="1"/>
  <c r="K121" i="1"/>
  <c r="L121" i="1" s="1"/>
  <c r="K122" i="1"/>
  <c r="K123" i="1"/>
  <c r="L123" i="1" s="1"/>
  <c r="M123" i="1" s="1"/>
  <c r="K124" i="1"/>
  <c r="K125" i="1"/>
  <c r="L125" i="1" s="1"/>
  <c r="K126" i="1"/>
  <c r="L126" i="1" s="1"/>
  <c r="K127" i="1"/>
  <c r="L127" i="1" s="1"/>
  <c r="K128" i="1"/>
  <c r="L128" i="1" s="1"/>
  <c r="M128" i="1" s="1"/>
  <c r="K129" i="1"/>
  <c r="L129" i="1" s="1"/>
  <c r="K130" i="1"/>
  <c r="L130" i="1" s="1"/>
  <c r="K131" i="1"/>
  <c r="L131" i="1" s="1"/>
  <c r="K132" i="1"/>
  <c r="L132" i="1" s="1"/>
  <c r="K133" i="1"/>
  <c r="L133" i="1" s="1"/>
  <c r="K134" i="1"/>
  <c r="K135" i="1"/>
  <c r="L135" i="1" s="1"/>
  <c r="K136" i="1"/>
  <c r="L136" i="1" s="1"/>
  <c r="K137" i="1"/>
  <c r="L137" i="1" s="1"/>
  <c r="K138" i="1"/>
  <c r="L138" i="1" s="1"/>
  <c r="K139" i="1"/>
  <c r="L139" i="1" s="1"/>
  <c r="K140" i="1"/>
  <c r="L140" i="1" s="1"/>
  <c r="K141" i="1"/>
  <c r="L141" i="1" s="1"/>
  <c r="K142" i="1"/>
  <c r="L142" i="1" s="1"/>
  <c r="K143" i="1"/>
  <c r="L143" i="1" s="1"/>
  <c r="K144" i="1"/>
  <c r="L144" i="1" s="1"/>
  <c r="K145" i="1"/>
  <c r="L145" i="1" s="1"/>
  <c r="K146" i="1"/>
  <c r="L146" i="1" s="1"/>
  <c r="M146" i="1" s="1"/>
  <c r="K147" i="1"/>
  <c r="L147" i="1" s="1"/>
  <c r="K148" i="1"/>
  <c r="L148" i="1" s="1"/>
  <c r="K149" i="1"/>
  <c r="L149" i="1" s="1"/>
  <c r="K150" i="1"/>
  <c r="L150" i="1" s="1"/>
  <c r="K151" i="1"/>
  <c r="L151" i="1" s="1"/>
  <c r="K152" i="1"/>
  <c r="L152" i="1" s="1"/>
  <c r="M152" i="1" s="1"/>
  <c r="K153" i="1"/>
  <c r="L153" i="1" s="1"/>
  <c r="K154" i="1"/>
  <c r="L154" i="1" s="1"/>
  <c r="K155" i="1"/>
  <c r="L155" i="1" s="1"/>
  <c r="K156" i="1"/>
  <c r="L156" i="1" s="1"/>
  <c r="K157" i="1"/>
  <c r="L157" i="1" s="1"/>
  <c r="K158" i="1"/>
  <c r="L158" i="1" s="1"/>
  <c r="M158" i="1" s="1"/>
  <c r="K159" i="1"/>
  <c r="L159" i="1" s="1"/>
  <c r="M159" i="1" s="1"/>
  <c r="K160" i="1"/>
  <c r="K161" i="1"/>
  <c r="L161" i="1" s="1"/>
  <c r="K162" i="1"/>
  <c r="L162" i="1" s="1"/>
  <c r="K163" i="1"/>
  <c r="L163" i="1" s="1"/>
  <c r="K164" i="1"/>
  <c r="L164" i="1" s="1"/>
  <c r="K165" i="1"/>
  <c r="L165" i="1" s="1"/>
  <c r="K166" i="1"/>
  <c r="K167" i="1"/>
  <c r="L167" i="1" s="1"/>
  <c r="K168" i="1"/>
  <c r="L168" i="1" s="1"/>
  <c r="K169" i="1"/>
  <c r="L169" i="1" s="1"/>
  <c r="K170" i="1"/>
  <c r="K171" i="1"/>
  <c r="K172" i="1"/>
  <c r="K173" i="1"/>
  <c r="L173" i="1" s="1"/>
  <c r="K174" i="1"/>
  <c r="L174" i="1" s="1"/>
  <c r="K175" i="1"/>
  <c r="L175" i="1" s="1"/>
  <c r="K176" i="1"/>
  <c r="L176" i="1" s="1"/>
  <c r="M176" i="1" s="1"/>
  <c r="K177" i="1"/>
  <c r="L177" i="1" s="1"/>
  <c r="K178" i="1"/>
  <c r="L178" i="1" s="1"/>
  <c r="K179" i="1"/>
  <c r="L179" i="1" s="1"/>
  <c r="M179" i="1" s="1"/>
  <c r="K180" i="1"/>
  <c r="L180" i="1" s="1"/>
  <c r="K181" i="1"/>
  <c r="L181" i="1" s="1"/>
  <c r="K182" i="1"/>
  <c r="K183" i="1"/>
  <c r="L183" i="1" s="1"/>
  <c r="M183" i="1" s="1"/>
  <c r="K184" i="1"/>
  <c r="K185" i="1"/>
  <c r="L185" i="1" s="1"/>
  <c r="K186" i="1"/>
  <c r="K187" i="1"/>
  <c r="L187" i="1" s="1"/>
  <c r="K188" i="1"/>
  <c r="L188" i="1" s="1"/>
  <c r="K189" i="1"/>
  <c r="L189" i="1" s="1"/>
  <c r="K190" i="1"/>
  <c r="L190" i="1" s="1"/>
  <c r="K191" i="1"/>
  <c r="L191" i="1" s="1"/>
  <c r="K192" i="1"/>
  <c r="L192" i="1" s="1"/>
  <c r="K193" i="1"/>
  <c r="L193" i="1" s="1"/>
  <c r="K194" i="1"/>
  <c r="L194" i="1" s="1"/>
  <c r="M194" i="1" s="1"/>
  <c r="K195" i="1"/>
  <c r="M195" i="1" s="1"/>
  <c r="K196" i="1"/>
  <c r="K197" i="1"/>
  <c r="L197" i="1" s="1"/>
  <c r="K198" i="1"/>
  <c r="L198" i="1" s="1"/>
  <c r="K199" i="1"/>
  <c r="L199" i="1" s="1"/>
  <c r="K200" i="1"/>
  <c r="L200" i="1" s="1"/>
  <c r="K201" i="1"/>
  <c r="L166" i="1"/>
  <c r="L134" i="1"/>
  <c r="M134" i="1" s="1"/>
  <c r="L74" i="1"/>
  <c r="M74" i="1" s="1"/>
  <c r="L2" i="1"/>
  <c r="M2" i="1" s="1"/>
  <c r="L122" i="1"/>
  <c r="M122" i="1" s="1"/>
  <c r="L160" i="1"/>
  <c r="L65" i="1"/>
  <c r="L195" i="1"/>
  <c r="L16" i="1"/>
  <c r="L88" i="1"/>
  <c r="L182" i="1"/>
  <c r="M182" i="1" s="1"/>
  <c r="L172" i="1"/>
  <c r="L98" i="1"/>
  <c r="M98" i="1" s="1"/>
  <c r="L14" i="1"/>
  <c r="M14" i="1" s="1"/>
  <c r="L184" i="1"/>
  <c r="L40" i="1"/>
  <c r="L196" i="1"/>
  <c r="L124" i="1"/>
  <c r="L110" i="1"/>
  <c r="M110" i="1" s="1"/>
  <c r="L52" i="1"/>
  <c r="M9" i="1" l="1"/>
  <c r="M164" i="1"/>
  <c r="M8" i="1"/>
  <c r="L170" i="1"/>
  <c r="M170" i="1" s="1"/>
  <c r="M39" i="1"/>
  <c r="L69" i="1"/>
  <c r="M69" i="1" s="1"/>
  <c r="M81" i="1"/>
  <c r="M80" i="1"/>
  <c r="M147" i="1"/>
  <c r="M135" i="1"/>
  <c r="M45" i="1"/>
  <c r="M129" i="1"/>
  <c r="M116" i="1"/>
  <c r="M26" i="1"/>
  <c r="M44" i="1"/>
  <c r="M117" i="1"/>
  <c r="M200" i="1"/>
  <c r="L83" i="1"/>
  <c r="M83" i="1" s="1"/>
  <c r="M191" i="1"/>
  <c r="M155" i="1"/>
  <c r="M71" i="1"/>
  <c r="M35" i="1"/>
  <c r="L106" i="1"/>
  <c r="M106" i="1" s="1"/>
  <c r="M189" i="1"/>
  <c r="M153" i="1"/>
  <c r="M107" i="1"/>
  <c r="M33" i="1"/>
  <c r="M188" i="1"/>
  <c r="M105" i="1"/>
  <c r="M68" i="1"/>
  <c r="M32" i="1"/>
  <c r="M162" i="1"/>
  <c r="M54" i="1"/>
  <c r="M18" i="1"/>
  <c r="M104" i="1"/>
  <c r="M27" i="1"/>
  <c r="L171" i="1"/>
  <c r="M171" i="1" s="1"/>
  <c r="L50" i="1"/>
  <c r="M50" i="1" s="1"/>
  <c r="M197" i="1"/>
  <c r="M185" i="1"/>
  <c r="M149" i="1"/>
  <c r="M137" i="1"/>
  <c r="M125" i="1"/>
  <c r="M101" i="1"/>
  <c r="M89" i="1"/>
  <c r="M65" i="1"/>
  <c r="M41" i="1"/>
  <c r="M17" i="1"/>
  <c r="M177" i="1"/>
  <c r="M143" i="1"/>
  <c r="M99" i="1"/>
  <c r="M59" i="1"/>
  <c r="L54" i="1"/>
  <c r="L201" i="1"/>
  <c r="M201" i="1" s="1"/>
  <c r="M196" i="1"/>
  <c r="M184" i="1"/>
  <c r="M172" i="1"/>
  <c r="M160" i="1"/>
  <c r="M136" i="1"/>
  <c r="M124" i="1"/>
  <c r="M112" i="1"/>
  <c r="M100" i="1"/>
  <c r="M88" i="1"/>
  <c r="M76" i="1"/>
  <c r="M64" i="1"/>
  <c r="M52" i="1"/>
  <c r="M40" i="1"/>
  <c r="M28" i="1"/>
  <c r="M16" i="1"/>
  <c r="M4" i="1"/>
  <c r="M141" i="1"/>
  <c r="M95" i="1"/>
  <c r="M57" i="1"/>
  <c r="M23" i="1"/>
  <c r="M119" i="1"/>
  <c r="M166" i="1"/>
  <c r="M140" i="1"/>
  <c r="M93" i="1"/>
  <c r="M56" i="1"/>
  <c r="M21" i="1"/>
  <c r="M167" i="1"/>
  <c r="M92" i="1"/>
  <c r="M20" i="1"/>
  <c r="L186" i="1"/>
  <c r="M186" i="1" s="1"/>
  <c r="L102" i="1"/>
  <c r="M102" i="1" s="1"/>
  <c r="L108" i="1"/>
  <c r="M108" i="1" s="1"/>
  <c r="M165" i="1"/>
  <c r="M131" i="1"/>
  <c r="M47" i="1"/>
  <c r="M11" i="1"/>
  <c r="M6" i="1"/>
  <c r="M148" i="1"/>
  <c r="M193" i="1"/>
  <c r="M181" i="1"/>
  <c r="M169" i="1"/>
  <c r="M157" i="1"/>
  <c r="M145" i="1"/>
  <c r="M133" i="1"/>
  <c r="M121" i="1"/>
  <c r="M109" i="1"/>
  <c r="M97" i="1"/>
  <c r="M85" i="1"/>
  <c r="M73" i="1"/>
  <c r="M61" i="1"/>
  <c r="M49" i="1"/>
  <c r="M37" i="1"/>
  <c r="M25" i="1"/>
  <c r="M13" i="1"/>
  <c r="L19" i="1"/>
  <c r="M19" i="1" s="1"/>
  <c r="M192" i="1"/>
  <c r="M180" i="1"/>
  <c r="M168" i="1"/>
  <c r="M156" i="1"/>
  <c r="M144" i="1"/>
  <c r="M132" i="1"/>
  <c r="M120" i="1"/>
  <c r="M96" i="1"/>
  <c r="M84" i="1"/>
  <c r="M72" i="1"/>
  <c r="M60" i="1"/>
  <c r="M48" i="1"/>
  <c r="M36" i="1"/>
  <c r="M24" i="1"/>
  <c r="M12" i="1"/>
  <c r="L6" i="1"/>
  <c r="M190" i="1"/>
  <c r="M178" i="1"/>
  <c r="M154" i="1"/>
  <c r="M142" i="1"/>
  <c r="M130" i="1"/>
  <c r="M118" i="1"/>
  <c r="M94" i="1"/>
  <c r="M82" i="1"/>
  <c r="M70" i="1"/>
  <c r="M58" i="1"/>
  <c r="M46" i="1"/>
  <c r="M34" i="1"/>
  <c r="M22" i="1"/>
  <c r="M10" i="1"/>
  <c r="L42" i="1"/>
  <c r="M42" i="1" s="1"/>
  <c r="M199" i="1"/>
  <c r="M187" i="1"/>
  <c r="M175" i="1"/>
  <c r="M163" i="1"/>
  <c r="M151" i="1"/>
  <c r="M139" i="1"/>
  <c r="M127" i="1"/>
  <c r="M115" i="1"/>
  <c r="M103" i="1"/>
  <c r="M91" i="1"/>
  <c r="M79" i="1"/>
  <c r="M67" i="1"/>
  <c r="M55" i="1"/>
  <c r="M43" i="1"/>
  <c r="M31" i="1"/>
  <c r="M7" i="1"/>
  <c r="L114" i="1"/>
  <c r="M114" i="1" s="1"/>
  <c r="M198" i="1"/>
  <c r="M174" i="1"/>
  <c r="M150" i="1"/>
  <c r="M138" i="1"/>
  <c r="M126" i="1"/>
  <c r="M90" i="1"/>
  <c r="M78" i="1"/>
  <c r="M66" i="1"/>
  <c r="M30" i="1"/>
  <c r="M173" i="1"/>
  <c r="M161" i="1"/>
  <c r="M113" i="1"/>
  <c r="M77" i="1"/>
  <c r="M53" i="1"/>
  <c r="M29" i="1"/>
  <c r="M5" i="1"/>
</calcChain>
</file>

<file path=xl/sharedStrings.xml><?xml version="1.0" encoding="utf-8"?>
<sst xmlns="http://schemas.openxmlformats.org/spreadsheetml/2006/main" count="1741" uniqueCount="312">
  <si>
    <t>OrderID</t>
  </si>
  <si>
    <t>Date</t>
  </si>
  <si>
    <t>Region</t>
  </si>
  <si>
    <t>State</t>
  </si>
  <si>
    <t>Category</t>
  </si>
  <si>
    <t>Sub-Category</t>
  </si>
  <si>
    <t>Product</t>
  </si>
  <si>
    <t>Quantity</t>
  </si>
  <si>
    <t>Unit Price</t>
  </si>
  <si>
    <t>Discount</t>
  </si>
  <si>
    <t>Customer Type</t>
  </si>
  <si>
    <t>Salesperson</t>
  </si>
  <si>
    <t>2023-04-09</t>
  </si>
  <si>
    <t>East</t>
  </si>
  <si>
    <t>Bihar</t>
  </si>
  <si>
    <t>Electronics</t>
  </si>
  <si>
    <t>Monitor</t>
  </si>
  <si>
    <t>LG UltraWide</t>
  </si>
  <si>
    <t>B2C</t>
  </si>
  <si>
    <t>John</t>
  </si>
  <si>
    <t>2023-06-02</t>
  </si>
  <si>
    <t>North</t>
  </si>
  <si>
    <t>Delhi</t>
  </si>
  <si>
    <t>Furniture</t>
  </si>
  <si>
    <t>Chair</t>
  </si>
  <si>
    <t>Ergo Chair</t>
  </si>
  <si>
    <t>Amit</t>
  </si>
  <si>
    <t>2023-12-05</t>
  </si>
  <si>
    <t>South</t>
  </si>
  <si>
    <t>Tamil Nadu</t>
  </si>
  <si>
    <t>Grocery</t>
  </si>
  <si>
    <t>Milk</t>
  </si>
  <si>
    <t>Toned Milk</t>
  </si>
  <si>
    <t>B2B</t>
  </si>
  <si>
    <t>Ramesh</t>
  </si>
  <si>
    <t>2023-08-06</t>
  </si>
  <si>
    <t>Kerala</t>
  </si>
  <si>
    <t>Shelf</t>
  </si>
  <si>
    <t>Wall Shelf</t>
  </si>
  <si>
    <t>Priya</t>
  </si>
  <si>
    <t>2023-08-22</t>
  </si>
  <si>
    <t>Clothing</t>
  </si>
  <si>
    <t>T-Shirt</t>
  </si>
  <si>
    <t>Cotton Tee</t>
  </si>
  <si>
    <t>Aisha</t>
  </si>
  <si>
    <t>2023-08-01</t>
  </si>
  <si>
    <t>Telangana</t>
  </si>
  <si>
    <t>Jacket</t>
  </si>
  <si>
    <t>Leather Jacket</t>
  </si>
  <si>
    <t>2023-07-13</t>
  </si>
  <si>
    <t>Laptop</t>
  </si>
  <si>
    <t>Acer Aspire 5</t>
  </si>
  <si>
    <t>2023-12-27</t>
  </si>
  <si>
    <t>Dell 24-inch</t>
  </si>
  <si>
    <t>2023-06-10</t>
  </si>
  <si>
    <t>Rice</t>
  </si>
  <si>
    <t>Brown Rice</t>
  </si>
  <si>
    <t>2023-01-07</t>
  </si>
  <si>
    <t>Karnataka</t>
  </si>
  <si>
    <t>2023-02-19</t>
  </si>
  <si>
    <t>Haryana</t>
  </si>
  <si>
    <t>Snacks</t>
  </si>
  <si>
    <t>Nachos</t>
  </si>
  <si>
    <t>Vikram</t>
  </si>
  <si>
    <t>2023-12-10</t>
  </si>
  <si>
    <t>2023-06-09</t>
  </si>
  <si>
    <t>Oil</t>
  </si>
  <si>
    <t>Mustard Oil</t>
  </si>
  <si>
    <t>2023-04-22</t>
  </si>
  <si>
    <t>West</t>
  </si>
  <si>
    <t>Goa</t>
  </si>
  <si>
    <t>2023-07-19</t>
  </si>
  <si>
    <t>Rajasthan</t>
  </si>
  <si>
    <t>Sneha</t>
  </si>
  <si>
    <t>2023-07-09</t>
  </si>
  <si>
    <t>Gujarat</t>
  </si>
  <si>
    <t>Shirt</t>
  </si>
  <si>
    <t>Linen Shirt</t>
  </si>
  <si>
    <t>2023-07-26</t>
  </si>
  <si>
    <t>2023-09-22</t>
  </si>
  <si>
    <t>Punjab</t>
  </si>
  <si>
    <t>2023-09-30</t>
  </si>
  <si>
    <t>West Bengal</t>
  </si>
  <si>
    <t>Metal Shelf</t>
  </si>
  <si>
    <t>2023-04-07</t>
  </si>
  <si>
    <t>Headphones</t>
  </si>
  <si>
    <t>JBL Tune</t>
  </si>
  <si>
    <t>2023-03-16</t>
  </si>
  <si>
    <t>Full Cream Milk</t>
  </si>
  <si>
    <t>2023-08-16</t>
  </si>
  <si>
    <t>Graphic Tee</t>
  </si>
  <si>
    <t>2023-02-11</t>
  </si>
  <si>
    <t>2023-08-25</t>
  </si>
  <si>
    <t>Assam</t>
  </si>
  <si>
    <t>Office Chair Pro</t>
  </si>
  <si>
    <t>2023-05-17</t>
  </si>
  <si>
    <t>2023-12-23</t>
  </si>
  <si>
    <t>2023-11-10</t>
  </si>
  <si>
    <t>Wooden Chair</t>
  </si>
  <si>
    <t>2023-04-12</t>
  </si>
  <si>
    <t>Mobile</t>
  </si>
  <si>
    <t>iPhone 13</t>
  </si>
  <si>
    <t>2023-09-07</t>
  </si>
  <si>
    <t>Nisha</t>
  </si>
  <si>
    <t>2023-03-14</t>
  </si>
  <si>
    <t>2023-05-12</t>
  </si>
  <si>
    <t>Casual Shirt</t>
  </si>
  <si>
    <t>2023-05-13</t>
  </si>
  <si>
    <t>2023-07-24</t>
  </si>
  <si>
    <t>Cow Milk</t>
  </si>
  <si>
    <t>2023-01-02</t>
  </si>
  <si>
    <t>Maharashtra</t>
  </si>
  <si>
    <t>Basmati Rice</t>
  </si>
  <si>
    <t>2023-02-14</t>
  </si>
  <si>
    <t>UP</t>
  </si>
  <si>
    <t>Jeans</t>
  </si>
  <si>
    <t>Slim Fit</t>
  </si>
  <si>
    <t>2023-05-28</t>
  </si>
  <si>
    <t>Sony WH-1000XM4</t>
  </si>
  <si>
    <t>2023-05-06</t>
  </si>
  <si>
    <t>HP Pavilion</t>
  </si>
  <si>
    <t>2023-07-30</t>
  </si>
  <si>
    <t>2023-05-15</t>
  </si>
  <si>
    <t>Formal Shirt</t>
  </si>
  <si>
    <t>2023-07-10</t>
  </si>
  <si>
    <t>2023-02-17</t>
  </si>
  <si>
    <t>Dell Inspiron</t>
  </si>
  <si>
    <t>Samsung Curved</t>
  </si>
  <si>
    <t>2023-07-03</t>
  </si>
  <si>
    <t>Windcheater</t>
  </si>
  <si>
    <t>2023-03-11</t>
  </si>
  <si>
    <t>Table</t>
  </si>
  <si>
    <t>Dining Table</t>
  </si>
  <si>
    <t>2023-05-03</t>
  </si>
  <si>
    <t>2023-03-26</t>
  </si>
  <si>
    <t>Hooded Jacket</t>
  </si>
  <si>
    <t>2023-12-04</t>
  </si>
  <si>
    <t>2023-01-26</t>
  </si>
  <si>
    <t>2023-08-24</t>
  </si>
  <si>
    <t>2023-06-23</t>
  </si>
  <si>
    <t>2023-02-12</t>
  </si>
  <si>
    <t>Odisha</t>
  </si>
  <si>
    <t>Sunflower Oil</t>
  </si>
  <si>
    <t>2023-04-10</t>
  </si>
  <si>
    <t>2023-07-28</t>
  </si>
  <si>
    <t>2023-10-05</t>
  </si>
  <si>
    <t>2023-01-15</t>
  </si>
  <si>
    <t>2023-06-19</t>
  </si>
  <si>
    <t>Samsung S21</t>
  </si>
  <si>
    <t>2023-11-23</t>
  </si>
  <si>
    <t>Sona Masoori</t>
  </si>
  <si>
    <t>Boat Rockerz</t>
  </si>
  <si>
    <t>2023-09-23</t>
  </si>
  <si>
    <t>Chips</t>
  </si>
  <si>
    <t>2023-12-18</t>
  </si>
  <si>
    <t>Sofa</t>
  </si>
  <si>
    <t>3-Seater Sofa</t>
  </si>
  <si>
    <t>2023-08-08</t>
  </si>
  <si>
    <t>2023-07-05</t>
  </si>
  <si>
    <t>2023-05-18</t>
  </si>
  <si>
    <t>2023-06-07</t>
  </si>
  <si>
    <t>2023-06-05</t>
  </si>
  <si>
    <t>2023-05-26</t>
  </si>
  <si>
    <t>Biscuits</t>
  </si>
  <si>
    <t>2023-10-20</t>
  </si>
  <si>
    <t>2023-11-05</t>
  </si>
  <si>
    <t>2023-08-11</t>
  </si>
  <si>
    <t>Sports Tee</t>
  </si>
  <si>
    <t>2023-04-30</t>
  </si>
  <si>
    <t>2023-05-30</t>
  </si>
  <si>
    <t>2023-12-12</t>
  </si>
  <si>
    <t>2023-06-27</t>
  </si>
  <si>
    <t>Office Table</t>
  </si>
  <si>
    <t>2023-01-05</t>
  </si>
  <si>
    <t>Regular Fit</t>
  </si>
  <si>
    <t>2023-07-08</t>
  </si>
  <si>
    <t>2023-01-28</t>
  </si>
  <si>
    <t>2023-01-30</t>
  </si>
  <si>
    <t>2023-06-15</t>
  </si>
  <si>
    <t>2023-10-24</t>
  </si>
  <si>
    <t>Stretch Fit</t>
  </si>
  <si>
    <t>2023-10-30</t>
  </si>
  <si>
    <t>2023-12-31</t>
  </si>
  <si>
    <t>2023-08-05</t>
  </si>
  <si>
    <t>2023-12-19</t>
  </si>
  <si>
    <t>2023-07-01</t>
  </si>
  <si>
    <t>2023-03-28</t>
  </si>
  <si>
    <t>2023-10-01</t>
  </si>
  <si>
    <t>2023-02-05</t>
  </si>
  <si>
    <t>2023-09-11</t>
  </si>
  <si>
    <t>2023-01-31</t>
  </si>
  <si>
    <t>2023-06-26</t>
  </si>
  <si>
    <t>2023-11-26</t>
  </si>
  <si>
    <t>Fabric Sofa</t>
  </si>
  <si>
    <t>2023-02-01</t>
  </si>
  <si>
    <t>2023-10-29</t>
  </si>
  <si>
    <t>2023-12-29</t>
  </si>
  <si>
    <t>2023-03-10</t>
  </si>
  <si>
    <t>2023-12-22</t>
  </si>
  <si>
    <t>Olive Oil</t>
  </si>
  <si>
    <t>2023-01-14</t>
  </si>
  <si>
    <t>2023-02-04</t>
  </si>
  <si>
    <t>2023-01-09</t>
  </si>
  <si>
    <t>2023-08-30</t>
  </si>
  <si>
    <t>2023-01-24</t>
  </si>
  <si>
    <t>2023-07-17</t>
  </si>
  <si>
    <t>2023-12-09</t>
  </si>
  <si>
    <t>2023-09-27</t>
  </si>
  <si>
    <t>2023-09-05</t>
  </si>
  <si>
    <t>2023-12-28</t>
  </si>
  <si>
    <t>2023-07-06</t>
  </si>
  <si>
    <t>2023-06-22</t>
  </si>
  <si>
    <t>2023-02-16</t>
  </si>
  <si>
    <t>2023-06-14</t>
  </si>
  <si>
    <t>2023-10-12</t>
  </si>
  <si>
    <t>2023-09-16</t>
  </si>
  <si>
    <t>2023-09-14</t>
  </si>
  <si>
    <t>2023-05-20</t>
  </si>
  <si>
    <t>2023-10-19</t>
  </si>
  <si>
    <t>Redmi Note 12</t>
  </si>
  <si>
    <t>2023-09-09</t>
  </si>
  <si>
    <t>Wooden Shelf</t>
  </si>
  <si>
    <t>2023-03-03</t>
  </si>
  <si>
    <t>Coffee Table</t>
  </si>
  <si>
    <t>2023-10-26</t>
  </si>
  <si>
    <t>2024-01-01</t>
  </si>
  <si>
    <t>2023-01-29</t>
  </si>
  <si>
    <t>2023-02-09</t>
  </si>
  <si>
    <t>2023-06-18</t>
  </si>
  <si>
    <t>2023-11-30</t>
  </si>
  <si>
    <t>2023-04-06</t>
  </si>
  <si>
    <t>2023-01-12</t>
  </si>
  <si>
    <t>2023-06-25</t>
  </si>
  <si>
    <t>2023-06-04</t>
  </si>
  <si>
    <t>2023-07-31</t>
  </si>
  <si>
    <t>2023-11-29</t>
  </si>
  <si>
    <t>2023-05-27</t>
  </si>
  <si>
    <t>2023-01-25</t>
  </si>
  <si>
    <t>2023-03-08</t>
  </si>
  <si>
    <t>2023-11-13</t>
  </si>
  <si>
    <t>2023-01-01</t>
  </si>
  <si>
    <t>2023-10-11</t>
  </si>
  <si>
    <t>2023-07-16</t>
  </si>
  <si>
    <t>2023-03-13</t>
  </si>
  <si>
    <t>2023-09-20</t>
  </si>
  <si>
    <t>2023-09-17</t>
  </si>
  <si>
    <t>2023-01-03</t>
  </si>
  <si>
    <t>2023-10-03</t>
  </si>
  <si>
    <t>2023-12-15</t>
  </si>
  <si>
    <t>2023-03-23</t>
  </si>
  <si>
    <t>2023-05-04</t>
  </si>
  <si>
    <t>2023-09-19</t>
  </si>
  <si>
    <t>2023-05-19</t>
  </si>
  <si>
    <t>2023-03-01</t>
  </si>
  <si>
    <t>2023-12-14</t>
  </si>
  <si>
    <t>2023-02-08</t>
  </si>
  <si>
    <t>2023-07-04</t>
  </si>
  <si>
    <t>2023-06-12</t>
  </si>
  <si>
    <t>2023-10-09</t>
  </si>
  <si>
    <t>2023-11-06</t>
  </si>
  <si>
    <t>2023-08-31</t>
  </si>
  <si>
    <t>2023-05-29</t>
  </si>
  <si>
    <t>2023-08-20</t>
  </si>
  <si>
    <t>Total Sales</t>
  </si>
  <si>
    <r>
      <t>Goal:</t>
    </r>
    <r>
      <rPr>
        <sz val="11"/>
        <color theme="1"/>
        <rFont val="Calibri"/>
        <family val="2"/>
        <scheme val="minor"/>
      </rPr>
      <t xml:space="preserve"> Build a dashboard summarizing sales across Regions, States, and Categories.</t>
    </r>
  </si>
  <si>
    <t>Tasks:</t>
  </si>
  <si>
    <r>
      <t xml:space="preserve">Create a </t>
    </r>
    <r>
      <rPr>
        <b/>
        <sz val="11"/>
        <color theme="1"/>
        <rFont val="Calibri"/>
        <family val="2"/>
        <scheme val="minor"/>
      </rPr>
      <t>Pivot Table</t>
    </r>
    <r>
      <rPr>
        <sz val="11"/>
        <color theme="1"/>
        <rFont val="Calibri"/>
        <family val="2"/>
        <scheme val="minor"/>
      </rPr>
      <t>: Region → Sales, Quantity</t>
    </r>
  </si>
  <si>
    <r>
      <t xml:space="preserve">Add </t>
    </r>
    <r>
      <rPr>
        <b/>
        <sz val="11"/>
        <color theme="1"/>
        <rFont val="Calibri"/>
        <family val="2"/>
        <scheme val="minor"/>
      </rPr>
      <t>Slicers</t>
    </r>
    <r>
      <rPr>
        <sz val="11"/>
        <color theme="1"/>
        <rFont val="Calibri"/>
        <family val="2"/>
        <scheme val="minor"/>
      </rPr>
      <t>: Category, Customer Type, Salesperson</t>
    </r>
  </si>
  <si>
    <r>
      <t xml:space="preserve">Add a </t>
    </r>
    <r>
      <rPr>
        <b/>
        <sz val="11"/>
        <color theme="1"/>
        <rFont val="Calibri"/>
        <family val="2"/>
        <scheme val="minor"/>
      </rPr>
      <t>Map Chart</t>
    </r>
    <r>
      <rPr>
        <sz val="11"/>
        <color theme="1"/>
        <rFont val="Calibri"/>
        <family val="2"/>
        <scheme val="minor"/>
      </rPr>
      <t xml:space="preserve"> or State-wise bar chart</t>
    </r>
  </si>
  <si>
    <t>Display top 5 highest-sales states</t>
  </si>
  <si>
    <t>Show discount % vs sales correlation (scatter chart)</t>
  </si>
  <si>
    <t>Pivot Table: Salesperson → Sum(Sales), Avg Discount, Total Orders</t>
  </si>
  <si>
    <t>Add conditional formatting to highlight top 10% performers</t>
  </si>
  <si>
    <t>Use bar chart to show sales by salesperson</t>
  </si>
  <si>
    <t>Create KPI card (using shapes):</t>
  </si>
  <si>
    <t>Highest Salesperson</t>
  </si>
  <si>
    <t>Total Orders</t>
  </si>
  <si>
    <t>Avg Order Value</t>
  </si>
  <si>
    <r>
      <t>Concepts:</t>
    </r>
    <r>
      <rPr>
        <sz val="11"/>
        <color theme="1"/>
        <rFont val="Calibri"/>
        <family val="2"/>
        <scheme val="minor"/>
      </rPr>
      <t xml:space="preserve"> Pivot Charts, KPIs, Ranking, Conditional formatting.</t>
    </r>
  </si>
  <si>
    <r>
      <t>Goal:</t>
    </r>
    <r>
      <rPr>
        <sz val="11"/>
        <color theme="1"/>
        <rFont val="Calibri"/>
        <family val="2"/>
        <scheme val="minor"/>
      </rPr>
      <t xml:space="preserve"> Create a fully interactive dashboard.</t>
    </r>
  </si>
  <si>
    <t>Must include:</t>
  </si>
  <si>
    <t>Timeline for Date</t>
  </si>
  <si>
    <t>Slicers for Category, Region, Salesperson</t>
  </si>
  <si>
    <t>KPIs:</t>
  </si>
  <si>
    <t>Total Quantity</t>
  </si>
  <si>
    <t>Charts:</t>
  </si>
  <si>
    <t>Sales Trend</t>
  </si>
  <si>
    <t>Sales by Category</t>
  </si>
  <si>
    <t>Sales by Region</t>
  </si>
  <si>
    <r>
      <t>Concepts:</t>
    </r>
    <r>
      <rPr>
        <sz val="11"/>
        <color theme="1"/>
        <rFont val="Calibri"/>
        <family val="2"/>
        <scheme val="minor"/>
      </rPr>
      <t xml:space="preserve"> Dashboard design, interactivity, data modeling.</t>
    </r>
  </si>
  <si>
    <r>
      <t>Goal:</t>
    </r>
    <r>
      <rPr>
        <sz val="11"/>
        <color theme="1"/>
        <rFont val="Calibri"/>
        <family val="2"/>
        <scheme val="minor"/>
      </rPr>
      <t xml:space="preserve"> create an interactive dashboard to analyse the sales person performance</t>
    </r>
  </si>
  <si>
    <t>Row Labels</t>
  </si>
  <si>
    <t>Grand Total</t>
  </si>
  <si>
    <t>Sum of Quantity</t>
  </si>
  <si>
    <t>Sales</t>
  </si>
  <si>
    <t>dis</t>
  </si>
  <si>
    <t>Sales_after_discount</t>
  </si>
  <si>
    <t>Sum of Sales_after_discount</t>
  </si>
  <si>
    <t>Sum of Sales</t>
  </si>
  <si>
    <t>Count of OrderID</t>
  </si>
  <si>
    <t>Average of Discount</t>
  </si>
  <si>
    <t>Average of Sales_after_discount</t>
  </si>
  <si>
    <t>KPI Cards</t>
  </si>
  <si>
    <t>Month</t>
  </si>
  <si>
    <t>Sales By Category</t>
  </si>
  <si>
    <t>Sales By Region</t>
  </si>
  <si>
    <t>Sales By SalesPerson</t>
  </si>
  <si>
    <t>Quantity Sold By SalesPerson</t>
  </si>
  <si>
    <t>State Wise Sales</t>
  </si>
  <si>
    <t>Discount VS Sales Correlation</t>
  </si>
  <si>
    <t>Order ID</t>
  </si>
  <si>
    <t>Avg_Of_Discound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</si>
</sst>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quot;M&quot;"/>
    <numFmt numFmtId="165" formatCode="&quot;₹&quot;#,##0.00,&quot;K&quot;"/>
    <numFmt numFmtId="166" formatCode="&quot;₹&quot;#,##0.00,,&quot;M&quot;"/>
  </numFmts>
  <fonts count="5">
    <font>
      <sz val="11"/>
      <color theme="1"/>
      <name val="Calibri"/>
      <family val="2"/>
      <scheme val="minor"/>
    </font>
    <font>
      <b/>
      <sz val="11"/>
      <color theme="1"/>
      <name val="Calibri"/>
      <family val="2"/>
      <scheme val="minor"/>
    </font>
    <font>
      <sz val="10"/>
      <color theme="1"/>
      <name val="Arial Unicode MS"/>
    </font>
    <font>
      <b/>
      <sz val="24"/>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rgb="FFFFFF00"/>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64">
    <xf numFmtId="0" fontId="0" fillId="0" borderId="0" xfId="0"/>
    <xf numFmtId="0" fontId="3" fillId="0" borderId="0" xfId="0" applyFont="1" applyAlignment="1">
      <alignment vertical="center"/>
    </xf>
    <xf numFmtId="0" fontId="0" fillId="0" borderId="0" xfId="0" applyAlignment="1">
      <alignment vertical="center" wrapText="1"/>
    </xf>
    <xf numFmtId="14" fontId="0" fillId="0" borderId="0" xfId="0" applyNumberFormat="1" applyAlignment="1">
      <alignment vertical="center" wrapText="1"/>
    </xf>
    <xf numFmtId="0" fontId="1" fillId="0" borderId="0" xfId="0" applyFont="1"/>
    <xf numFmtId="0" fontId="0" fillId="0" borderId="0" xfId="0" applyAlignment="1">
      <alignment horizontal="left" vertical="center" indent="1"/>
    </xf>
    <xf numFmtId="0" fontId="0" fillId="0" borderId="0" xfId="0" applyAlignment="1">
      <alignment horizontal="left" vertical="center" indent="2"/>
    </xf>
    <xf numFmtId="0" fontId="4" fillId="0" borderId="0" xfId="0" applyFont="1" applyAlignment="1">
      <alignment vertical="center"/>
    </xf>
    <xf numFmtId="0" fontId="2" fillId="0" borderId="0" xfId="0" applyFont="1" applyAlignment="1">
      <alignment horizontal="left" vertical="center" indent="1"/>
    </xf>
    <xf numFmtId="0" fontId="2" fillId="0" borderId="0" xfId="0" applyFont="1" applyAlignment="1">
      <alignment horizontal="left" vertical="center" indent="2"/>
    </xf>
    <xf numFmtId="0" fontId="0" fillId="0" borderId="0" xfId="0" pivotButton="1"/>
    <xf numFmtId="0" fontId="0" fillId="0" borderId="0" xfId="0" applyAlignment="1">
      <alignment horizontal="left"/>
    </xf>
    <xf numFmtId="2" fontId="0" fillId="0" borderId="0" xfId="0" applyNumberFormat="1"/>
    <xf numFmtId="166"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9" xfId="0" applyBorder="1"/>
    <xf numFmtId="166" fontId="0" fillId="0" borderId="10" xfId="0" applyNumberFormat="1" applyBorder="1"/>
    <xf numFmtId="166" fontId="0" fillId="0" borderId="11" xfId="0" applyNumberFormat="1" applyBorder="1"/>
    <xf numFmtId="166" fontId="0" fillId="0" borderId="12" xfId="0" applyNumberFormat="1" applyBorder="1"/>
    <xf numFmtId="0" fontId="0" fillId="0" borderId="1" xfId="0" pivotButton="1" applyBorder="1"/>
    <xf numFmtId="0" fontId="0" fillId="0" borderId="1" xfId="0" applyBorder="1" applyAlignment="1">
      <alignment horizontal="left"/>
    </xf>
    <xf numFmtId="0" fontId="0" fillId="0" borderId="1" xfId="0" applyBorder="1"/>
    <xf numFmtId="0" fontId="0" fillId="0" borderId="0" xfId="0" applyAlignment="1">
      <alignment vertical="center"/>
    </xf>
    <xf numFmtId="165" fontId="0" fillId="0" borderId="0" xfId="0" applyNumberFormat="1"/>
    <xf numFmtId="0" fontId="0" fillId="0" borderId="7" xfId="0" applyBorder="1"/>
    <xf numFmtId="14" fontId="0" fillId="0" borderId="0" xfId="0" applyNumberFormat="1"/>
    <xf numFmtId="165" fontId="0" fillId="0" borderId="1" xfId="0" applyNumberFormat="1" applyBorder="1"/>
    <xf numFmtId="166" fontId="0" fillId="0" borderId="1" xfId="0" applyNumberFormat="1" applyBorder="1"/>
    <xf numFmtId="1" fontId="0" fillId="0" borderId="0" xfId="0" applyNumberFormat="1"/>
    <xf numFmtId="0" fontId="0" fillId="0" borderId="11" xfId="0" applyBorder="1" applyAlignment="1">
      <alignment horizontal="left"/>
    </xf>
    <xf numFmtId="0" fontId="0" fillId="0" borderId="12" xfId="0" applyBorder="1" applyAlignment="1">
      <alignment horizontal="left"/>
    </xf>
    <xf numFmtId="1" fontId="0" fillId="0" borderId="10" xfId="0" applyNumberFormat="1" applyBorder="1" applyAlignment="1">
      <alignment horizontal="left"/>
    </xf>
    <xf numFmtId="1" fontId="0" fillId="0" borderId="11" xfId="0" applyNumberFormat="1" applyBorder="1" applyAlignment="1">
      <alignment horizontal="left"/>
    </xf>
    <xf numFmtId="1" fontId="0" fillId="0" borderId="12" xfId="0" applyNumberFormat="1" applyBorder="1" applyAlignment="1">
      <alignment horizontal="left"/>
    </xf>
    <xf numFmtId="1" fontId="0" fillId="0" borderId="1" xfId="0" applyNumberFormat="1" applyBorder="1" applyAlignment="1">
      <alignment horizontal="left"/>
    </xf>
    <xf numFmtId="0" fontId="0" fillId="0" borderId="10" xfId="0" applyBorder="1" applyAlignment="1">
      <alignment horizontal="left"/>
    </xf>
    <xf numFmtId="0" fontId="0" fillId="0" borderId="5" xfId="0" pivotButton="1" applyBorder="1"/>
    <xf numFmtId="0" fontId="0" fillId="0" borderId="5" xfId="0" applyBorder="1" applyAlignment="1">
      <alignment horizontal="left"/>
    </xf>
    <xf numFmtId="0" fontId="0" fillId="2" borderId="15" xfId="0" applyFill="1" applyBorder="1"/>
    <xf numFmtId="0" fontId="0" fillId="0" borderId="2" xfId="0" pivotButton="1" applyBorder="1"/>
    <xf numFmtId="0" fontId="0" fillId="0" borderId="7" xfId="0" applyBorder="1" applyAlignment="1">
      <alignment horizontal="left"/>
    </xf>
    <xf numFmtId="0" fontId="0" fillId="0" borderId="10" xfId="0" applyBorder="1"/>
    <xf numFmtId="0" fontId="0" fillId="0" borderId="11" xfId="0" applyBorder="1"/>
    <xf numFmtId="164" fontId="0" fillId="0" borderId="11" xfId="0" applyNumberFormat="1" applyBorder="1"/>
    <xf numFmtId="164" fontId="0" fillId="0" borderId="12" xfId="0" applyNumberFormat="1" applyBorder="1"/>
    <xf numFmtId="0" fontId="0" fillId="0" borderId="12" xfId="0" applyBorder="1"/>
    <xf numFmtId="164" fontId="0" fillId="0" borderId="10" xfId="0" applyNumberFormat="1" applyBorder="1"/>
    <xf numFmtId="165" fontId="0" fillId="0" borderId="2" xfId="0" applyNumberFormat="1" applyBorder="1"/>
    <xf numFmtId="165" fontId="0" fillId="0" borderId="5" xfId="0" applyNumberFormat="1" applyBorder="1"/>
    <xf numFmtId="165" fontId="0" fillId="0" borderId="7" xfId="0" applyNumberFormat="1" applyBorder="1"/>
    <xf numFmtId="0" fontId="0" fillId="2" borderId="13" xfId="0" applyFill="1" applyBorder="1" applyAlignment="1">
      <alignment horizontal="center"/>
    </xf>
    <xf numFmtId="0" fontId="0" fillId="2" borderId="14"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15" xfId="0" applyFill="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cellXfs>
  <cellStyles count="1">
    <cellStyle name="Normal" xfId="0" builtinId="0"/>
  </cellStyles>
  <dxfs count="1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1" formatCode="0"/>
    </dxf>
    <dxf>
      <numFmt numFmtId="19" formatCode="dd/mm/yyyy"/>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numFmt numFmtId="166" formatCode="&quot;₹&quot;#,##0.00,,&quot;M&quot;"/>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numFmt numFmtId="164" formatCode="#,##0.00,,&quot;M&quot;"/>
    </dxf>
    <dxf>
      <numFmt numFmtId="164" formatCode="#,##0.00,,&quot;M&quot;"/>
    </dxf>
    <dxf>
      <font>
        <b/>
        <color theme="1"/>
      </font>
      <border>
        <bottom style="thin">
          <color theme="7"/>
        </bottom>
        <vertical/>
        <horizontal/>
      </border>
    </dxf>
    <dxf>
      <font>
        <color rgb="FFBFC3D9"/>
      </font>
      <fill>
        <patternFill>
          <bgColor rgb="FF3A3A55"/>
        </patternFill>
      </fill>
      <border>
        <left style="thin">
          <color theme="7"/>
        </left>
        <right style="thin">
          <color theme="7"/>
        </right>
        <top style="thin">
          <color theme="7"/>
        </top>
        <bottom style="thin">
          <color theme="7"/>
        </bottom>
        <vertical/>
        <horizontal/>
      </border>
    </dxf>
    <dxf>
      <fill>
        <patternFill>
          <bgColor rgb="FF3A3A55"/>
        </patternFill>
      </fill>
    </dxf>
  </dxfs>
  <tableStyles count="3" defaultTableStyle="TableStyleMedium9" defaultPivotStyle="PivotStyleLight16">
    <tableStyle name="Slicer Style 1" pivot="0" table="0" count="0" xr9:uid="{6D77CAF2-783A-4923-8063-A331FBC8F781}"/>
    <tableStyle name="Slicer Style 2" pivot="0" table="0" count="1" xr9:uid="{EBD01A92-D693-498E-94E5-2E0026E4183D}">
      <tableStyleElement type="wholeTable" dxfId="112"/>
    </tableStyle>
    <tableStyle name="SlicerStyleDark4 2" pivot="0" table="0" count="10" xr9:uid="{B2C20B92-2D67-48F5-B1EB-4E08CBE160D1}">
      <tableStyleElement type="wholeTable" dxfId="111"/>
      <tableStyleElement type="headerRow" dxfId="110"/>
    </tableStyle>
  </tableStyles>
  <colors>
    <mruColors>
      <color rgb="FFBFC3D9"/>
      <color rgb="FF3A3A55"/>
      <color rgb="FF2A2A40"/>
      <color rgb="FFFAFAFA"/>
      <color rgb="FFECF0F1"/>
      <color rgb="FF5B6CFA"/>
      <color rgb="FFF28482"/>
      <color rgb="FF4FD1C5"/>
      <color rgb="FF8E7BFA"/>
      <color rgb="FF162A3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[retail_sales_dataset.xlsx]Pivot_Table_1!PivotTable31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Pivot_Table_1!$B$13</c:f>
              <c:strCache>
                <c:ptCount val="1"/>
                <c:pt idx="0">
                  <c:v>Total</c:v>
                </c:pt>
              </c:strCache>
            </c:strRef>
          </c:tx>
          <c:spPr>
            <a:solidFill>
              <a:schemeClr val="accent1"/>
            </a:solidFill>
            <a:ln>
              <a:noFill/>
            </a:ln>
            <a:effectLst/>
          </c:spPr>
          <c:invertIfNegative val="0"/>
          <c:cat>
            <c:strRef>
              <c:f>Pivot_Table_1!$A$14:$A$19</c:f>
              <c:strCache>
                <c:ptCount val="5"/>
                <c:pt idx="0">
                  <c:v>Delhi</c:v>
                </c:pt>
                <c:pt idx="1">
                  <c:v>Kerala</c:v>
                </c:pt>
                <c:pt idx="2">
                  <c:v>Rajasthan</c:v>
                </c:pt>
                <c:pt idx="3">
                  <c:v>Maharashtra</c:v>
                </c:pt>
                <c:pt idx="4">
                  <c:v>Haryana</c:v>
                </c:pt>
              </c:strCache>
            </c:strRef>
          </c:cat>
          <c:val>
            <c:numRef>
              <c:f>Pivot_Table_1!$B$14:$B$19</c:f>
              <c:numCache>
                <c:formatCode>#,##0.00,,"M"</c:formatCode>
                <c:ptCount val="5"/>
                <c:pt idx="0">
                  <c:v>1709818.94</c:v>
                </c:pt>
                <c:pt idx="1">
                  <c:v>1950815.96</c:v>
                </c:pt>
                <c:pt idx="2">
                  <c:v>1985123.41</c:v>
                </c:pt>
                <c:pt idx="3">
                  <c:v>2090269.9</c:v>
                </c:pt>
                <c:pt idx="4">
                  <c:v>2522754.8100000005</c:v>
                </c:pt>
              </c:numCache>
            </c:numRef>
          </c:val>
          <c:extLst>
            <c:ext xmlns:c16="http://schemas.microsoft.com/office/drawing/2014/chart" uri="{C3380CC4-5D6E-409C-BE32-E72D297353CC}">
              <c16:uniqueId val="{00000000-D5D7-42F1-8F5C-F4AF775238CE}"/>
            </c:ext>
          </c:extLst>
        </c:ser>
        <c:dLbls>
          <c:showLegendKey val="0"/>
          <c:showVal val="0"/>
          <c:showCatName val="0"/>
          <c:showSerName val="0"/>
          <c:showPercent val="0"/>
          <c:showBubbleSize val="0"/>
        </c:dLbls>
        <c:gapWidth val="182"/>
        <c:axId val="983566655"/>
        <c:axId val="983567615"/>
      </c:barChart>
      <c:catAx>
        <c:axId val="98356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567615"/>
        <c:crosses val="autoZero"/>
        <c:auto val="1"/>
        <c:lblAlgn val="ctr"/>
        <c:lblOffset val="100"/>
        <c:noMultiLvlLbl val="0"/>
      </c:catAx>
      <c:valAx>
        <c:axId val="983567615"/>
        <c:scaling>
          <c:orientation val="minMax"/>
        </c:scaling>
        <c:delete val="0"/>
        <c:axPos val="b"/>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56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Pivot_Table_1!$H$39</c:f>
              <c:strCache>
                <c:ptCount val="1"/>
                <c:pt idx="0">
                  <c:v>Sales</c:v>
                </c:pt>
              </c:strCache>
            </c:strRef>
          </c:tx>
          <c:spPr>
            <a:ln w="28575" cap="rnd">
              <a:noFill/>
              <a:round/>
            </a:ln>
            <a:effectLst/>
          </c:spPr>
          <c:marker>
            <c:symbol val="circle"/>
            <c:size val="5"/>
            <c:spPr>
              <a:solidFill>
                <a:schemeClr val="accent1"/>
              </a:solidFill>
              <a:ln w="9525">
                <a:solidFill>
                  <a:schemeClr val="accent1"/>
                </a:solidFill>
              </a:ln>
              <a:effectLst/>
            </c:spPr>
          </c:marker>
          <c:xVal>
            <c:numRef>
              <c:f>Pivot_Table_1!$G$40:$G$239</c:f>
              <c:numCache>
                <c:formatCode>General</c:formatCode>
                <c:ptCount val="200"/>
                <c:pt idx="0">
                  <c:v>1001</c:v>
                </c:pt>
                <c:pt idx="1">
                  <c:v>1002</c:v>
                </c:pt>
                <c:pt idx="2">
                  <c:v>1003</c:v>
                </c:pt>
                <c:pt idx="3">
                  <c:v>1004</c:v>
                </c:pt>
                <c:pt idx="4">
                  <c:v>1005</c:v>
                </c:pt>
                <c:pt idx="5">
                  <c:v>1006</c:v>
                </c:pt>
                <c:pt idx="6">
                  <c:v>1007</c:v>
                </c:pt>
                <c:pt idx="7">
                  <c:v>1008</c:v>
                </c:pt>
                <c:pt idx="8">
                  <c:v>1009</c:v>
                </c:pt>
                <c:pt idx="9">
                  <c:v>1010</c:v>
                </c:pt>
                <c:pt idx="10">
                  <c:v>1011</c:v>
                </c:pt>
                <c:pt idx="11">
                  <c:v>1012</c:v>
                </c:pt>
                <c:pt idx="12">
                  <c:v>1013</c:v>
                </c:pt>
                <c:pt idx="13">
                  <c:v>1014</c:v>
                </c:pt>
                <c:pt idx="14">
                  <c:v>1015</c:v>
                </c:pt>
                <c:pt idx="15">
                  <c:v>1016</c:v>
                </c:pt>
                <c:pt idx="16">
                  <c:v>1017</c:v>
                </c:pt>
                <c:pt idx="17">
                  <c:v>1018</c:v>
                </c:pt>
                <c:pt idx="18">
                  <c:v>1019</c:v>
                </c:pt>
                <c:pt idx="19">
                  <c:v>1020</c:v>
                </c:pt>
                <c:pt idx="20">
                  <c:v>1021</c:v>
                </c:pt>
                <c:pt idx="21">
                  <c:v>1022</c:v>
                </c:pt>
                <c:pt idx="22">
                  <c:v>1023</c:v>
                </c:pt>
                <c:pt idx="23">
                  <c:v>1024</c:v>
                </c:pt>
                <c:pt idx="24">
                  <c:v>1025</c:v>
                </c:pt>
                <c:pt idx="25">
                  <c:v>1026</c:v>
                </c:pt>
                <c:pt idx="26">
                  <c:v>1027</c:v>
                </c:pt>
                <c:pt idx="27">
                  <c:v>1028</c:v>
                </c:pt>
                <c:pt idx="28">
                  <c:v>1029</c:v>
                </c:pt>
                <c:pt idx="29">
                  <c:v>1030</c:v>
                </c:pt>
                <c:pt idx="30">
                  <c:v>1031</c:v>
                </c:pt>
                <c:pt idx="31">
                  <c:v>1032</c:v>
                </c:pt>
                <c:pt idx="32">
                  <c:v>1033</c:v>
                </c:pt>
                <c:pt idx="33">
                  <c:v>1034</c:v>
                </c:pt>
                <c:pt idx="34">
                  <c:v>1035</c:v>
                </c:pt>
                <c:pt idx="35">
                  <c:v>1036</c:v>
                </c:pt>
                <c:pt idx="36">
                  <c:v>1037</c:v>
                </c:pt>
                <c:pt idx="37">
                  <c:v>1038</c:v>
                </c:pt>
                <c:pt idx="38">
                  <c:v>1039</c:v>
                </c:pt>
                <c:pt idx="39">
                  <c:v>1040</c:v>
                </c:pt>
                <c:pt idx="40">
                  <c:v>1041</c:v>
                </c:pt>
                <c:pt idx="41">
                  <c:v>1042</c:v>
                </c:pt>
                <c:pt idx="42">
                  <c:v>1043</c:v>
                </c:pt>
                <c:pt idx="43">
                  <c:v>1044</c:v>
                </c:pt>
                <c:pt idx="44">
                  <c:v>1045</c:v>
                </c:pt>
                <c:pt idx="45">
                  <c:v>1046</c:v>
                </c:pt>
                <c:pt idx="46">
                  <c:v>1047</c:v>
                </c:pt>
                <c:pt idx="47">
                  <c:v>1048</c:v>
                </c:pt>
                <c:pt idx="48">
                  <c:v>1049</c:v>
                </c:pt>
                <c:pt idx="49">
                  <c:v>1050</c:v>
                </c:pt>
                <c:pt idx="50">
                  <c:v>1051</c:v>
                </c:pt>
                <c:pt idx="51">
                  <c:v>1052</c:v>
                </c:pt>
                <c:pt idx="52">
                  <c:v>1053</c:v>
                </c:pt>
                <c:pt idx="53">
                  <c:v>1054</c:v>
                </c:pt>
                <c:pt idx="54">
                  <c:v>1055</c:v>
                </c:pt>
                <c:pt idx="55">
                  <c:v>1056</c:v>
                </c:pt>
                <c:pt idx="56">
                  <c:v>1057</c:v>
                </c:pt>
                <c:pt idx="57">
                  <c:v>1058</c:v>
                </c:pt>
                <c:pt idx="58">
                  <c:v>1059</c:v>
                </c:pt>
                <c:pt idx="59">
                  <c:v>1060</c:v>
                </c:pt>
                <c:pt idx="60">
                  <c:v>1061</c:v>
                </c:pt>
                <c:pt idx="61">
                  <c:v>1062</c:v>
                </c:pt>
                <c:pt idx="62">
                  <c:v>1063</c:v>
                </c:pt>
                <c:pt idx="63">
                  <c:v>1064</c:v>
                </c:pt>
                <c:pt idx="64">
                  <c:v>1065</c:v>
                </c:pt>
                <c:pt idx="65">
                  <c:v>1066</c:v>
                </c:pt>
                <c:pt idx="66">
                  <c:v>1067</c:v>
                </c:pt>
                <c:pt idx="67">
                  <c:v>1068</c:v>
                </c:pt>
                <c:pt idx="68">
                  <c:v>1069</c:v>
                </c:pt>
                <c:pt idx="69">
                  <c:v>1070</c:v>
                </c:pt>
                <c:pt idx="70">
                  <c:v>1071</c:v>
                </c:pt>
                <c:pt idx="71">
                  <c:v>1072</c:v>
                </c:pt>
                <c:pt idx="72">
                  <c:v>1073</c:v>
                </c:pt>
                <c:pt idx="73">
                  <c:v>1074</c:v>
                </c:pt>
                <c:pt idx="74">
                  <c:v>1075</c:v>
                </c:pt>
                <c:pt idx="75">
                  <c:v>1076</c:v>
                </c:pt>
                <c:pt idx="76">
                  <c:v>1077</c:v>
                </c:pt>
                <c:pt idx="77">
                  <c:v>1078</c:v>
                </c:pt>
                <c:pt idx="78">
                  <c:v>1079</c:v>
                </c:pt>
                <c:pt idx="79">
                  <c:v>1080</c:v>
                </c:pt>
                <c:pt idx="80">
                  <c:v>1081</c:v>
                </c:pt>
                <c:pt idx="81">
                  <c:v>1082</c:v>
                </c:pt>
                <c:pt idx="82">
                  <c:v>1083</c:v>
                </c:pt>
                <c:pt idx="83">
                  <c:v>1084</c:v>
                </c:pt>
                <c:pt idx="84">
                  <c:v>1085</c:v>
                </c:pt>
                <c:pt idx="85">
                  <c:v>1086</c:v>
                </c:pt>
                <c:pt idx="86">
                  <c:v>1087</c:v>
                </c:pt>
                <c:pt idx="87">
                  <c:v>1088</c:v>
                </c:pt>
                <c:pt idx="88">
                  <c:v>1089</c:v>
                </c:pt>
                <c:pt idx="89">
                  <c:v>1090</c:v>
                </c:pt>
                <c:pt idx="90">
                  <c:v>1091</c:v>
                </c:pt>
                <c:pt idx="91">
                  <c:v>1092</c:v>
                </c:pt>
                <c:pt idx="92">
                  <c:v>1093</c:v>
                </c:pt>
                <c:pt idx="93">
                  <c:v>1094</c:v>
                </c:pt>
                <c:pt idx="94">
                  <c:v>1095</c:v>
                </c:pt>
                <c:pt idx="95">
                  <c:v>1096</c:v>
                </c:pt>
                <c:pt idx="96">
                  <c:v>1097</c:v>
                </c:pt>
                <c:pt idx="97">
                  <c:v>1098</c:v>
                </c:pt>
                <c:pt idx="98">
                  <c:v>1099</c:v>
                </c:pt>
                <c:pt idx="99">
                  <c:v>1100</c:v>
                </c:pt>
                <c:pt idx="100">
                  <c:v>1101</c:v>
                </c:pt>
                <c:pt idx="101">
                  <c:v>1102</c:v>
                </c:pt>
                <c:pt idx="102">
                  <c:v>1103</c:v>
                </c:pt>
                <c:pt idx="103">
                  <c:v>1104</c:v>
                </c:pt>
                <c:pt idx="104">
                  <c:v>1105</c:v>
                </c:pt>
                <c:pt idx="105">
                  <c:v>1106</c:v>
                </c:pt>
                <c:pt idx="106">
                  <c:v>1107</c:v>
                </c:pt>
                <c:pt idx="107">
                  <c:v>1108</c:v>
                </c:pt>
                <c:pt idx="108">
                  <c:v>1109</c:v>
                </c:pt>
                <c:pt idx="109">
                  <c:v>1110</c:v>
                </c:pt>
                <c:pt idx="110">
                  <c:v>1111</c:v>
                </c:pt>
                <c:pt idx="111">
                  <c:v>1112</c:v>
                </c:pt>
                <c:pt idx="112">
                  <c:v>1113</c:v>
                </c:pt>
                <c:pt idx="113">
                  <c:v>1114</c:v>
                </c:pt>
                <c:pt idx="114">
                  <c:v>1115</c:v>
                </c:pt>
                <c:pt idx="115">
                  <c:v>1116</c:v>
                </c:pt>
                <c:pt idx="116">
                  <c:v>1117</c:v>
                </c:pt>
                <c:pt idx="117">
                  <c:v>1118</c:v>
                </c:pt>
                <c:pt idx="118">
                  <c:v>1119</c:v>
                </c:pt>
                <c:pt idx="119">
                  <c:v>1120</c:v>
                </c:pt>
                <c:pt idx="120">
                  <c:v>1121</c:v>
                </c:pt>
                <c:pt idx="121">
                  <c:v>1122</c:v>
                </c:pt>
                <c:pt idx="122">
                  <c:v>1123</c:v>
                </c:pt>
                <c:pt idx="123">
                  <c:v>1124</c:v>
                </c:pt>
                <c:pt idx="124">
                  <c:v>1125</c:v>
                </c:pt>
                <c:pt idx="125">
                  <c:v>1126</c:v>
                </c:pt>
                <c:pt idx="126">
                  <c:v>1127</c:v>
                </c:pt>
                <c:pt idx="127">
                  <c:v>1128</c:v>
                </c:pt>
                <c:pt idx="128">
                  <c:v>1129</c:v>
                </c:pt>
                <c:pt idx="129">
                  <c:v>1130</c:v>
                </c:pt>
                <c:pt idx="130">
                  <c:v>1131</c:v>
                </c:pt>
                <c:pt idx="131">
                  <c:v>1132</c:v>
                </c:pt>
                <c:pt idx="132">
                  <c:v>1133</c:v>
                </c:pt>
                <c:pt idx="133">
                  <c:v>1134</c:v>
                </c:pt>
                <c:pt idx="134">
                  <c:v>1135</c:v>
                </c:pt>
                <c:pt idx="135">
                  <c:v>1136</c:v>
                </c:pt>
                <c:pt idx="136">
                  <c:v>1137</c:v>
                </c:pt>
                <c:pt idx="137">
                  <c:v>1138</c:v>
                </c:pt>
                <c:pt idx="138">
                  <c:v>1139</c:v>
                </c:pt>
                <c:pt idx="139">
                  <c:v>1140</c:v>
                </c:pt>
                <c:pt idx="140">
                  <c:v>1141</c:v>
                </c:pt>
                <c:pt idx="141">
                  <c:v>1142</c:v>
                </c:pt>
                <c:pt idx="142">
                  <c:v>1143</c:v>
                </c:pt>
                <c:pt idx="143">
                  <c:v>1144</c:v>
                </c:pt>
                <c:pt idx="144">
                  <c:v>1145</c:v>
                </c:pt>
                <c:pt idx="145">
                  <c:v>1146</c:v>
                </c:pt>
                <c:pt idx="146">
                  <c:v>1147</c:v>
                </c:pt>
                <c:pt idx="147">
                  <c:v>1148</c:v>
                </c:pt>
                <c:pt idx="148">
                  <c:v>1149</c:v>
                </c:pt>
                <c:pt idx="149">
                  <c:v>1150</c:v>
                </c:pt>
                <c:pt idx="150">
                  <c:v>1151</c:v>
                </c:pt>
                <c:pt idx="151">
                  <c:v>1152</c:v>
                </c:pt>
                <c:pt idx="152">
                  <c:v>1153</c:v>
                </c:pt>
                <c:pt idx="153">
                  <c:v>1154</c:v>
                </c:pt>
                <c:pt idx="154">
                  <c:v>1155</c:v>
                </c:pt>
                <c:pt idx="155">
                  <c:v>1156</c:v>
                </c:pt>
                <c:pt idx="156">
                  <c:v>1157</c:v>
                </c:pt>
                <c:pt idx="157">
                  <c:v>1158</c:v>
                </c:pt>
                <c:pt idx="158">
                  <c:v>1159</c:v>
                </c:pt>
                <c:pt idx="159">
                  <c:v>1160</c:v>
                </c:pt>
                <c:pt idx="160">
                  <c:v>1161</c:v>
                </c:pt>
                <c:pt idx="161">
                  <c:v>1162</c:v>
                </c:pt>
                <c:pt idx="162">
                  <c:v>1163</c:v>
                </c:pt>
                <c:pt idx="163">
                  <c:v>1164</c:v>
                </c:pt>
                <c:pt idx="164">
                  <c:v>1165</c:v>
                </c:pt>
                <c:pt idx="165">
                  <c:v>1166</c:v>
                </c:pt>
                <c:pt idx="166">
                  <c:v>1167</c:v>
                </c:pt>
                <c:pt idx="167">
                  <c:v>1168</c:v>
                </c:pt>
                <c:pt idx="168">
                  <c:v>1169</c:v>
                </c:pt>
                <c:pt idx="169">
                  <c:v>1170</c:v>
                </c:pt>
                <c:pt idx="170">
                  <c:v>1171</c:v>
                </c:pt>
                <c:pt idx="171">
                  <c:v>1172</c:v>
                </c:pt>
                <c:pt idx="172">
                  <c:v>1173</c:v>
                </c:pt>
                <c:pt idx="173">
                  <c:v>1174</c:v>
                </c:pt>
                <c:pt idx="174">
                  <c:v>1175</c:v>
                </c:pt>
                <c:pt idx="175">
                  <c:v>1176</c:v>
                </c:pt>
                <c:pt idx="176">
                  <c:v>1177</c:v>
                </c:pt>
                <c:pt idx="177">
                  <c:v>1178</c:v>
                </c:pt>
                <c:pt idx="178">
                  <c:v>1179</c:v>
                </c:pt>
                <c:pt idx="179">
                  <c:v>1180</c:v>
                </c:pt>
                <c:pt idx="180">
                  <c:v>1181</c:v>
                </c:pt>
                <c:pt idx="181">
                  <c:v>1182</c:v>
                </c:pt>
                <c:pt idx="182">
                  <c:v>1183</c:v>
                </c:pt>
                <c:pt idx="183">
                  <c:v>1184</c:v>
                </c:pt>
                <c:pt idx="184">
                  <c:v>1185</c:v>
                </c:pt>
                <c:pt idx="185">
                  <c:v>1186</c:v>
                </c:pt>
                <c:pt idx="186">
                  <c:v>1187</c:v>
                </c:pt>
                <c:pt idx="187">
                  <c:v>1188</c:v>
                </c:pt>
                <c:pt idx="188">
                  <c:v>1189</c:v>
                </c:pt>
                <c:pt idx="189">
                  <c:v>1190</c:v>
                </c:pt>
                <c:pt idx="190">
                  <c:v>1191</c:v>
                </c:pt>
                <c:pt idx="191">
                  <c:v>1192</c:v>
                </c:pt>
                <c:pt idx="192">
                  <c:v>1193</c:v>
                </c:pt>
                <c:pt idx="193">
                  <c:v>1194</c:v>
                </c:pt>
                <c:pt idx="194">
                  <c:v>1195</c:v>
                </c:pt>
                <c:pt idx="195">
                  <c:v>1196</c:v>
                </c:pt>
                <c:pt idx="196">
                  <c:v>1197</c:v>
                </c:pt>
                <c:pt idx="197">
                  <c:v>1198</c:v>
                </c:pt>
                <c:pt idx="198">
                  <c:v>1199</c:v>
                </c:pt>
                <c:pt idx="199">
                  <c:v>1200</c:v>
                </c:pt>
              </c:numCache>
            </c:numRef>
          </c:xVal>
          <c:yVal>
            <c:numRef>
              <c:f>Pivot_Table_1!$H$40:$H$239</c:f>
              <c:numCache>
                <c:formatCode>"₹"#,##0.00,"K"</c:formatCode>
                <c:ptCount val="200"/>
                <c:pt idx="0">
                  <c:v>296145</c:v>
                </c:pt>
                <c:pt idx="1">
                  <c:v>362970</c:v>
                </c:pt>
                <c:pt idx="2">
                  <c:v>92610</c:v>
                </c:pt>
                <c:pt idx="3">
                  <c:v>261464</c:v>
                </c:pt>
                <c:pt idx="4">
                  <c:v>244056</c:v>
                </c:pt>
                <c:pt idx="5">
                  <c:v>142668</c:v>
                </c:pt>
                <c:pt idx="6">
                  <c:v>81944</c:v>
                </c:pt>
                <c:pt idx="7">
                  <c:v>19104</c:v>
                </c:pt>
                <c:pt idx="8">
                  <c:v>75858</c:v>
                </c:pt>
                <c:pt idx="9">
                  <c:v>45849</c:v>
                </c:pt>
                <c:pt idx="10">
                  <c:v>207088</c:v>
                </c:pt>
                <c:pt idx="11">
                  <c:v>13617</c:v>
                </c:pt>
                <c:pt idx="12">
                  <c:v>103761</c:v>
                </c:pt>
                <c:pt idx="13">
                  <c:v>65668</c:v>
                </c:pt>
                <c:pt idx="14">
                  <c:v>26572</c:v>
                </c:pt>
                <c:pt idx="15">
                  <c:v>157992</c:v>
                </c:pt>
                <c:pt idx="16">
                  <c:v>27342</c:v>
                </c:pt>
                <c:pt idx="17">
                  <c:v>410481</c:v>
                </c:pt>
                <c:pt idx="18">
                  <c:v>40050</c:v>
                </c:pt>
                <c:pt idx="19">
                  <c:v>12018</c:v>
                </c:pt>
                <c:pt idx="20">
                  <c:v>63502</c:v>
                </c:pt>
                <c:pt idx="21">
                  <c:v>40620</c:v>
                </c:pt>
                <c:pt idx="22">
                  <c:v>154266</c:v>
                </c:pt>
                <c:pt idx="23">
                  <c:v>86319</c:v>
                </c:pt>
                <c:pt idx="24">
                  <c:v>44146</c:v>
                </c:pt>
                <c:pt idx="25">
                  <c:v>16541</c:v>
                </c:pt>
                <c:pt idx="26">
                  <c:v>257</c:v>
                </c:pt>
                <c:pt idx="27">
                  <c:v>271334</c:v>
                </c:pt>
                <c:pt idx="28">
                  <c:v>46950</c:v>
                </c:pt>
                <c:pt idx="29">
                  <c:v>101695</c:v>
                </c:pt>
                <c:pt idx="30">
                  <c:v>227857</c:v>
                </c:pt>
                <c:pt idx="31">
                  <c:v>69055</c:v>
                </c:pt>
                <c:pt idx="32">
                  <c:v>273380</c:v>
                </c:pt>
                <c:pt idx="33">
                  <c:v>133980</c:v>
                </c:pt>
                <c:pt idx="34">
                  <c:v>213030</c:v>
                </c:pt>
                <c:pt idx="35">
                  <c:v>96996</c:v>
                </c:pt>
                <c:pt idx="36">
                  <c:v>78505</c:v>
                </c:pt>
                <c:pt idx="37">
                  <c:v>348648</c:v>
                </c:pt>
                <c:pt idx="38">
                  <c:v>13098</c:v>
                </c:pt>
                <c:pt idx="39">
                  <c:v>102956</c:v>
                </c:pt>
                <c:pt idx="40">
                  <c:v>112000</c:v>
                </c:pt>
                <c:pt idx="41">
                  <c:v>135248</c:v>
                </c:pt>
                <c:pt idx="42">
                  <c:v>192474</c:v>
                </c:pt>
                <c:pt idx="43">
                  <c:v>125209</c:v>
                </c:pt>
                <c:pt idx="44">
                  <c:v>27770</c:v>
                </c:pt>
                <c:pt idx="45">
                  <c:v>175176</c:v>
                </c:pt>
                <c:pt idx="46">
                  <c:v>174992</c:v>
                </c:pt>
                <c:pt idx="47">
                  <c:v>39846</c:v>
                </c:pt>
                <c:pt idx="48">
                  <c:v>211338</c:v>
                </c:pt>
                <c:pt idx="49">
                  <c:v>25754</c:v>
                </c:pt>
                <c:pt idx="50">
                  <c:v>39708</c:v>
                </c:pt>
                <c:pt idx="51">
                  <c:v>233880</c:v>
                </c:pt>
                <c:pt idx="52">
                  <c:v>93542</c:v>
                </c:pt>
                <c:pt idx="53">
                  <c:v>466460</c:v>
                </c:pt>
                <c:pt idx="54">
                  <c:v>69404</c:v>
                </c:pt>
                <c:pt idx="55">
                  <c:v>5677</c:v>
                </c:pt>
                <c:pt idx="56">
                  <c:v>120087</c:v>
                </c:pt>
                <c:pt idx="57">
                  <c:v>100254</c:v>
                </c:pt>
                <c:pt idx="58">
                  <c:v>379720</c:v>
                </c:pt>
                <c:pt idx="59">
                  <c:v>13524</c:v>
                </c:pt>
                <c:pt idx="60">
                  <c:v>129060</c:v>
                </c:pt>
                <c:pt idx="61">
                  <c:v>60417</c:v>
                </c:pt>
                <c:pt idx="62">
                  <c:v>100540</c:v>
                </c:pt>
                <c:pt idx="63">
                  <c:v>45766</c:v>
                </c:pt>
                <c:pt idx="64">
                  <c:v>126075</c:v>
                </c:pt>
                <c:pt idx="65">
                  <c:v>38321</c:v>
                </c:pt>
                <c:pt idx="66">
                  <c:v>17539</c:v>
                </c:pt>
                <c:pt idx="67">
                  <c:v>4029</c:v>
                </c:pt>
                <c:pt idx="68">
                  <c:v>49922</c:v>
                </c:pt>
                <c:pt idx="69">
                  <c:v>95661</c:v>
                </c:pt>
                <c:pt idx="70">
                  <c:v>41576</c:v>
                </c:pt>
                <c:pt idx="71">
                  <c:v>67632</c:v>
                </c:pt>
                <c:pt idx="72">
                  <c:v>332073</c:v>
                </c:pt>
                <c:pt idx="73">
                  <c:v>52814</c:v>
                </c:pt>
                <c:pt idx="74">
                  <c:v>6228</c:v>
                </c:pt>
                <c:pt idx="75">
                  <c:v>196120</c:v>
                </c:pt>
                <c:pt idx="76">
                  <c:v>150930</c:v>
                </c:pt>
                <c:pt idx="77">
                  <c:v>99792</c:v>
                </c:pt>
                <c:pt idx="78">
                  <c:v>107160</c:v>
                </c:pt>
                <c:pt idx="79">
                  <c:v>292012</c:v>
                </c:pt>
                <c:pt idx="80">
                  <c:v>268668</c:v>
                </c:pt>
                <c:pt idx="81">
                  <c:v>389322</c:v>
                </c:pt>
                <c:pt idx="82">
                  <c:v>212445</c:v>
                </c:pt>
                <c:pt idx="83">
                  <c:v>273010</c:v>
                </c:pt>
                <c:pt idx="84">
                  <c:v>113472</c:v>
                </c:pt>
                <c:pt idx="85">
                  <c:v>167952</c:v>
                </c:pt>
                <c:pt idx="86">
                  <c:v>90080</c:v>
                </c:pt>
                <c:pt idx="87">
                  <c:v>91888</c:v>
                </c:pt>
                <c:pt idx="88">
                  <c:v>271848</c:v>
                </c:pt>
                <c:pt idx="89">
                  <c:v>214776</c:v>
                </c:pt>
                <c:pt idx="90">
                  <c:v>233010</c:v>
                </c:pt>
                <c:pt idx="91">
                  <c:v>211296</c:v>
                </c:pt>
                <c:pt idx="92">
                  <c:v>14263</c:v>
                </c:pt>
                <c:pt idx="93">
                  <c:v>14508</c:v>
                </c:pt>
                <c:pt idx="94">
                  <c:v>52745</c:v>
                </c:pt>
                <c:pt idx="95">
                  <c:v>291600</c:v>
                </c:pt>
                <c:pt idx="96">
                  <c:v>225570</c:v>
                </c:pt>
                <c:pt idx="97">
                  <c:v>25968</c:v>
                </c:pt>
                <c:pt idx="98">
                  <c:v>154497</c:v>
                </c:pt>
                <c:pt idx="99">
                  <c:v>84060</c:v>
                </c:pt>
                <c:pt idx="100">
                  <c:v>39612</c:v>
                </c:pt>
                <c:pt idx="101">
                  <c:v>102050</c:v>
                </c:pt>
                <c:pt idx="102">
                  <c:v>125028</c:v>
                </c:pt>
                <c:pt idx="103">
                  <c:v>320306</c:v>
                </c:pt>
                <c:pt idx="104">
                  <c:v>4071</c:v>
                </c:pt>
                <c:pt idx="105">
                  <c:v>21761</c:v>
                </c:pt>
                <c:pt idx="106">
                  <c:v>111072</c:v>
                </c:pt>
                <c:pt idx="107">
                  <c:v>278411</c:v>
                </c:pt>
                <c:pt idx="108">
                  <c:v>35493</c:v>
                </c:pt>
                <c:pt idx="109">
                  <c:v>65597</c:v>
                </c:pt>
                <c:pt idx="110">
                  <c:v>6350</c:v>
                </c:pt>
                <c:pt idx="111">
                  <c:v>166864</c:v>
                </c:pt>
                <c:pt idx="112">
                  <c:v>173475</c:v>
                </c:pt>
                <c:pt idx="113">
                  <c:v>74544</c:v>
                </c:pt>
                <c:pt idx="114">
                  <c:v>67650</c:v>
                </c:pt>
                <c:pt idx="115">
                  <c:v>177428</c:v>
                </c:pt>
                <c:pt idx="116">
                  <c:v>95378</c:v>
                </c:pt>
                <c:pt idx="117">
                  <c:v>118036</c:v>
                </c:pt>
                <c:pt idx="118">
                  <c:v>9756</c:v>
                </c:pt>
                <c:pt idx="119">
                  <c:v>369970</c:v>
                </c:pt>
                <c:pt idx="120">
                  <c:v>306048</c:v>
                </c:pt>
                <c:pt idx="121">
                  <c:v>26602</c:v>
                </c:pt>
                <c:pt idx="122">
                  <c:v>133048</c:v>
                </c:pt>
                <c:pt idx="123">
                  <c:v>166320</c:v>
                </c:pt>
                <c:pt idx="124">
                  <c:v>95508</c:v>
                </c:pt>
                <c:pt idx="125">
                  <c:v>278190</c:v>
                </c:pt>
                <c:pt idx="126">
                  <c:v>226866</c:v>
                </c:pt>
                <c:pt idx="127">
                  <c:v>43704</c:v>
                </c:pt>
                <c:pt idx="128">
                  <c:v>246526</c:v>
                </c:pt>
                <c:pt idx="129">
                  <c:v>132405</c:v>
                </c:pt>
                <c:pt idx="130">
                  <c:v>17900</c:v>
                </c:pt>
                <c:pt idx="131">
                  <c:v>129784</c:v>
                </c:pt>
                <c:pt idx="132">
                  <c:v>123212</c:v>
                </c:pt>
                <c:pt idx="133">
                  <c:v>56076</c:v>
                </c:pt>
                <c:pt idx="134">
                  <c:v>189882</c:v>
                </c:pt>
                <c:pt idx="135">
                  <c:v>34167</c:v>
                </c:pt>
                <c:pt idx="136">
                  <c:v>156258</c:v>
                </c:pt>
                <c:pt idx="137">
                  <c:v>149740</c:v>
                </c:pt>
                <c:pt idx="138">
                  <c:v>144956</c:v>
                </c:pt>
                <c:pt idx="139">
                  <c:v>492920</c:v>
                </c:pt>
                <c:pt idx="140">
                  <c:v>22773</c:v>
                </c:pt>
                <c:pt idx="141">
                  <c:v>42564</c:v>
                </c:pt>
                <c:pt idx="142">
                  <c:v>245490</c:v>
                </c:pt>
                <c:pt idx="143">
                  <c:v>62160</c:v>
                </c:pt>
                <c:pt idx="144">
                  <c:v>192800</c:v>
                </c:pt>
                <c:pt idx="145">
                  <c:v>54085</c:v>
                </c:pt>
                <c:pt idx="146">
                  <c:v>21980</c:v>
                </c:pt>
                <c:pt idx="147">
                  <c:v>64272</c:v>
                </c:pt>
                <c:pt idx="148">
                  <c:v>112410</c:v>
                </c:pt>
                <c:pt idx="149">
                  <c:v>13796</c:v>
                </c:pt>
                <c:pt idx="150">
                  <c:v>24892</c:v>
                </c:pt>
                <c:pt idx="151">
                  <c:v>121121</c:v>
                </c:pt>
                <c:pt idx="152">
                  <c:v>15192</c:v>
                </c:pt>
                <c:pt idx="153">
                  <c:v>198414</c:v>
                </c:pt>
                <c:pt idx="154">
                  <c:v>138660</c:v>
                </c:pt>
                <c:pt idx="155">
                  <c:v>128148</c:v>
                </c:pt>
                <c:pt idx="156">
                  <c:v>55173</c:v>
                </c:pt>
                <c:pt idx="157">
                  <c:v>74832</c:v>
                </c:pt>
                <c:pt idx="158">
                  <c:v>270347</c:v>
                </c:pt>
                <c:pt idx="159">
                  <c:v>102431</c:v>
                </c:pt>
                <c:pt idx="160">
                  <c:v>25918</c:v>
                </c:pt>
                <c:pt idx="161">
                  <c:v>255024</c:v>
                </c:pt>
                <c:pt idx="162">
                  <c:v>486320</c:v>
                </c:pt>
                <c:pt idx="163">
                  <c:v>81360</c:v>
                </c:pt>
                <c:pt idx="164">
                  <c:v>43890</c:v>
                </c:pt>
                <c:pt idx="165">
                  <c:v>8742</c:v>
                </c:pt>
                <c:pt idx="166">
                  <c:v>9000</c:v>
                </c:pt>
                <c:pt idx="167">
                  <c:v>206376</c:v>
                </c:pt>
                <c:pt idx="168">
                  <c:v>46881</c:v>
                </c:pt>
                <c:pt idx="169">
                  <c:v>176391</c:v>
                </c:pt>
                <c:pt idx="170">
                  <c:v>77105</c:v>
                </c:pt>
                <c:pt idx="171">
                  <c:v>135054</c:v>
                </c:pt>
                <c:pt idx="172">
                  <c:v>309672</c:v>
                </c:pt>
                <c:pt idx="173">
                  <c:v>343660</c:v>
                </c:pt>
                <c:pt idx="174">
                  <c:v>51018</c:v>
                </c:pt>
                <c:pt idx="175">
                  <c:v>177520</c:v>
                </c:pt>
                <c:pt idx="176">
                  <c:v>93738</c:v>
                </c:pt>
                <c:pt idx="177">
                  <c:v>32685</c:v>
                </c:pt>
                <c:pt idx="178">
                  <c:v>38744</c:v>
                </c:pt>
                <c:pt idx="179">
                  <c:v>305883</c:v>
                </c:pt>
                <c:pt idx="180">
                  <c:v>1413</c:v>
                </c:pt>
                <c:pt idx="181">
                  <c:v>146958</c:v>
                </c:pt>
                <c:pt idx="182">
                  <c:v>184989</c:v>
                </c:pt>
                <c:pt idx="183">
                  <c:v>138525</c:v>
                </c:pt>
                <c:pt idx="184">
                  <c:v>1050</c:v>
                </c:pt>
                <c:pt idx="185">
                  <c:v>250038</c:v>
                </c:pt>
                <c:pt idx="186">
                  <c:v>333747</c:v>
                </c:pt>
                <c:pt idx="187">
                  <c:v>125616</c:v>
                </c:pt>
                <c:pt idx="188">
                  <c:v>676</c:v>
                </c:pt>
                <c:pt idx="189">
                  <c:v>94218</c:v>
                </c:pt>
                <c:pt idx="190">
                  <c:v>119931</c:v>
                </c:pt>
                <c:pt idx="191">
                  <c:v>85020</c:v>
                </c:pt>
                <c:pt idx="192">
                  <c:v>314968</c:v>
                </c:pt>
                <c:pt idx="193">
                  <c:v>29158</c:v>
                </c:pt>
                <c:pt idx="194">
                  <c:v>9342</c:v>
                </c:pt>
                <c:pt idx="195">
                  <c:v>265110</c:v>
                </c:pt>
                <c:pt idx="196">
                  <c:v>356008</c:v>
                </c:pt>
                <c:pt idx="197">
                  <c:v>58640</c:v>
                </c:pt>
                <c:pt idx="198">
                  <c:v>109620</c:v>
                </c:pt>
                <c:pt idx="199">
                  <c:v>307202</c:v>
                </c:pt>
              </c:numCache>
            </c:numRef>
          </c:yVal>
          <c:smooth val="0"/>
          <c:extLst>
            <c:ext xmlns:c16="http://schemas.microsoft.com/office/drawing/2014/chart" uri="{C3380CC4-5D6E-409C-BE32-E72D297353CC}">
              <c16:uniqueId val="{00000000-97A6-4006-81F0-CE6328EE4142}"/>
            </c:ext>
          </c:extLst>
        </c:ser>
        <c:dLbls>
          <c:showLegendKey val="0"/>
          <c:showVal val="0"/>
          <c:showCatName val="0"/>
          <c:showSerName val="0"/>
          <c:showPercent val="0"/>
          <c:showBubbleSize val="0"/>
        </c:dLbls>
        <c:axId val="289866255"/>
        <c:axId val="289861455"/>
      </c:scatterChart>
      <c:valAx>
        <c:axId val="289866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861455"/>
        <c:crosses val="autoZero"/>
        <c:crossBetween val="midCat"/>
      </c:valAx>
      <c:valAx>
        <c:axId val="2898614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86625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[retail_sales_dataset.xlsx]Pivot_Table_2!PivotTable2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Pivot_Table_2!$B$18</c:f>
              <c:strCache>
                <c:ptCount val="1"/>
                <c:pt idx="0">
                  <c:v>Total</c:v>
                </c:pt>
              </c:strCache>
            </c:strRef>
          </c:tx>
          <c:spPr>
            <a:solidFill>
              <a:schemeClr val="accent1"/>
            </a:solidFill>
            <a:ln>
              <a:noFill/>
            </a:ln>
            <a:effectLst/>
          </c:spPr>
          <c:invertIfNegative val="0"/>
          <c:cat>
            <c:strRef>
              <c:f>Pivot_Table_2!$A$19:$A$27</c:f>
              <c:strCache>
                <c:ptCount val="8"/>
                <c:pt idx="0">
                  <c:v>Aisha</c:v>
                </c:pt>
                <c:pt idx="1">
                  <c:v>Amit</c:v>
                </c:pt>
                <c:pt idx="2">
                  <c:v>John</c:v>
                </c:pt>
                <c:pt idx="3">
                  <c:v>Nisha</c:v>
                </c:pt>
                <c:pt idx="4">
                  <c:v>Priya</c:v>
                </c:pt>
                <c:pt idx="5">
                  <c:v>Ramesh</c:v>
                </c:pt>
                <c:pt idx="6">
                  <c:v>Sneha</c:v>
                </c:pt>
                <c:pt idx="7">
                  <c:v>Vikram</c:v>
                </c:pt>
              </c:strCache>
            </c:strRef>
          </c:cat>
          <c:val>
            <c:numRef>
              <c:f>Pivot_Table_2!$B$19:$B$27</c:f>
              <c:numCache>
                <c:formatCode>"₹"#,##0.00,,"M"</c:formatCode>
                <c:ptCount val="8"/>
                <c:pt idx="0">
                  <c:v>4064154.6300000004</c:v>
                </c:pt>
                <c:pt idx="1">
                  <c:v>3469190.1500000004</c:v>
                </c:pt>
                <c:pt idx="2">
                  <c:v>2609995.1399999997</c:v>
                </c:pt>
                <c:pt idx="3">
                  <c:v>3462860.8099999996</c:v>
                </c:pt>
                <c:pt idx="4">
                  <c:v>2188932.67</c:v>
                </c:pt>
                <c:pt idx="5">
                  <c:v>2379949.2000000007</c:v>
                </c:pt>
                <c:pt idx="6">
                  <c:v>1680972.7499999998</c:v>
                </c:pt>
                <c:pt idx="7">
                  <c:v>4148926.169999999</c:v>
                </c:pt>
              </c:numCache>
            </c:numRef>
          </c:val>
          <c:extLst>
            <c:ext xmlns:c16="http://schemas.microsoft.com/office/drawing/2014/chart" uri="{C3380CC4-5D6E-409C-BE32-E72D297353CC}">
              <c16:uniqueId val="{00000000-5F11-435D-B7DC-A00B2BE208F2}"/>
            </c:ext>
          </c:extLst>
        </c:ser>
        <c:dLbls>
          <c:showLegendKey val="0"/>
          <c:showVal val="0"/>
          <c:showCatName val="0"/>
          <c:showSerName val="0"/>
          <c:showPercent val="0"/>
          <c:showBubbleSize val="0"/>
        </c:dLbls>
        <c:gapWidth val="182"/>
        <c:axId val="232395919"/>
        <c:axId val="232404559"/>
      </c:barChart>
      <c:catAx>
        <c:axId val="23239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404559"/>
        <c:crosses val="autoZero"/>
        <c:auto val="1"/>
        <c:lblAlgn val="ctr"/>
        <c:lblOffset val="100"/>
        <c:noMultiLvlLbl val="0"/>
      </c:catAx>
      <c:valAx>
        <c:axId val="23240455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39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[retail_sales_dataset.xlsx]Pivot_Table_2!PivotTable7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Pivot_Table_2!$B$50</c:f>
              <c:strCache>
                <c:ptCount val="1"/>
                <c:pt idx="0">
                  <c:v>Total</c:v>
                </c:pt>
              </c:strCache>
            </c:strRef>
          </c:tx>
          <c:spPr>
            <a:solidFill>
              <a:schemeClr val="accent1"/>
            </a:solidFill>
            <a:ln>
              <a:noFill/>
            </a:ln>
            <a:effectLst/>
          </c:spPr>
          <c:invertIfNegative val="0"/>
          <c:cat>
            <c:strRef>
              <c:f>Pivot_Table_2!$A$51:$A$59</c:f>
              <c:strCache>
                <c:ptCount val="8"/>
                <c:pt idx="0">
                  <c:v>Aisha</c:v>
                </c:pt>
                <c:pt idx="1">
                  <c:v>Amit</c:v>
                </c:pt>
                <c:pt idx="2">
                  <c:v>John</c:v>
                </c:pt>
                <c:pt idx="3">
                  <c:v>Nisha</c:v>
                </c:pt>
                <c:pt idx="4">
                  <c:v>Priya</c:v>
                </c:pt>
                <c:pt idx="5">
                  <c:v>Ramesh</c:v>
                </c:pt>
                <c:pt idx="6">
                  <c:v>Sneha</c:v>
                </c:pt>
                <c:pt idx="7">
                  <c:v>Vikram</c:v>
                </c:pt>
              </c:strCache>
            </c:strRef>
          </c:cat>
          <c:val>
            <c:numRef>
              <c:f>Pivot_Table_2!$B$51:$B$59</c:f>
              <c:numCache>
                <c:formatCode>General</c:formatCode>
                <c:ptCount val="8"/>
                <c:pt idx="0">
                  <c:v>155</c:v>
                </c:pt>
                <c:pt idx="1">
                  <c:v>171</c:v>
                </c:pt>
                <c:pt idx="2">
                  <c:v>151</c:v>
                </c:pt>
                <c:pt idx="3">
                  <c:v>133</c:v>
                </c:pt>
                <c:pt idx="4">
                  <c:v>132</c:v>
                </c:pt>
                <c:pt idx="5">
                  <c:v>108</c:v>
                </c:pt>
                <c:pt idx="6">
                  <c:v>100</c:v>
                </c:pt>
                <c:pt idx="7">
                  <c:v>152</c:v>
                </c:pt>
              </c:numCache>
            </c:numRef>
          </c:val>
          <c:extLst>
            <c:ext xmlns:c16="http://schemas.microsoft.com/office/drawing/2014/chart" uri="{C3380CC4-5D6E-409C-BE32-E72D297353CC}">
              <c16:uniqueId val="{00000000-862F-48C6-9509-14837943E950}"/>
            </c:ext>
          </c:extLst>
        </c:ser>
        <c:dLbls>
          <c:showLegendKey val="0"/>
          <c:showVal val="0"/>
          <c:showCatName val="0"/>
          <c:showSerName val="0"/>
          <c:showPercent val="0"/>
          <c:showBubbleSize val="0"/>
        </c:dLbls>
        <c:gapWidth val="182"/>
        <c:axId val="239326815"/>
        <c:axId val="239331135"/>
      </c:barChart>
      <c:catAx>
        <c:axId val="239326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331135"/>
        <c:crosses val="autoZero"/>
        <c:auto val="1"/>
        <c:lblAlgn val="ctr"/>
        <c:lblOffset val="100"/>
        <c:noMultiLvlLbl val="0"/>
      </c:catAx>
      <c:valAx>
        <c:axId val="239331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32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[retail_sales_dataset.xlsx]Pivot_Table_2!PivotTable2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7F8C8D"/>
              </a:gs>
              <a:gs pos="100000">
                <a:srgbClr val="1C2833"/>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Pivot_Table_2!$B$18</c:f>
              <c:strCache>
                <c:ptCount val="1"/>
                <c:pt idx="0">
                  <c:v>Total</c:v>
                </c:pt>
              </c:strCache>
            </c:strRef>
          </c:tx>
          <c:spPr>
            <a:gradFill>
              <a:gsLst>
                <a:gs pos="0">
                  <a:srgbClr val="7F8C8D"/>
                </a:gs>
                <a:gs pos="100000">
                  <a:srgbClr val="1C2833"/>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Pivot_Table_2!$A$19:$A$27</c:f>
              <c:strCache>
                <c:ptCount val="8"/>
                <c:pt idx="0">
                  <c:v>Aisha</c:v>
                </c:pt>
                <c:pt idx="1">
                  <c:v>Amit</c:v>
                </c:pt>
                <c:pt idx="2">
                  <c:v>John</c:v>
                </c:pt>
                <c:pt idx="3">
                  <c:v>Nisha</c:v>
                </c:pt>
                <c:pt idx="4">
                  <c:v>Priya</c:v>
                </c:pt>
                <c:pt idx="5">
                  <c:v>Ramesh</c:v>
                </c:pt>
                <c:pt idx="6">
                  <c:v>Sneha</c:v>
                </c:pt>
                <c:pt idx="7">
                  <c:v>Vikram</c:v>
                </c:pt>
              </c:strCache>
            </c:strRef>
          </c:cat>
          <c:val>
            <c:numRef>
              <c:f>Pivot_Table_2!$B$19:$B$27</c:f>
              <c:numCache>
                <c:formatCode>"₹"#,##0.00,,"M"</c:formatCode>
                <c:ptCount val="8"/>
                <c:pt idx="0">
                  <c:v>4064154.6300000004</c:v>
                </c:pt>
                <c:pt idx="1">
                  <c:v>3469190.1500000004</c:v>
                </c:pt>
                <c:pt idx="2">
                  <c:v>2609995.1399999997</c:v>
                </c:pt>
                <c:pt idx="3">
                  <c:v>3462860.8099999996</c:v>
                </c:pt>
                <c:pt idx="4">
                  <c:v>2188932.67</c:v>
                </c:pt>
                <c:pt idx="5">
                  <c:v>2379949.2000000007</c:v>
                </c:pt>
                <c:pt idx="6">
                  <c:v>1680972.7499999998</c:v>
                </c:pt>
                <c:pt idx="7">
                  <c:v>4148926.169999999</c:v>
                </c:pt>
              </c:numCache>
            </c:numRef>
          </c:val>
          <c:extLst>
            <c:ext xmlns:c16="http://schemas.microsoft.com/office/drawing/2014/chart" uri="{C3380CC4-5D6E-409C-BE32-E72D297353CC}">
              <c16:uniqueId val="{00000000-65EC-41BE-8775-B95B46696A9D}"/>
            </c:ext>
          </c:extLst>
        </c:ser>
        <c:dLbls>
          <c:showLegendKey val="0"/>
          <c:showVal val="0"/>
          <c:showCatName val="0"/>
          <c:showSerName val="0"/>
          <c:showPercent val="0"/>
          <c:showBubbleSize val="0"/>
        </c:dLbls>
        <c:gapWidth val="182"/>
        <c:axId val="232395919"/>
        <c:axId val="232404559"/>
      </c:barChart>
      <c:catAx>
        <c:axId val="23239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2404559"/>
        <c:crosses val="autoZero"/>
        <c:auto val="1"/>
        <c:lblAlgn val="ctr"/>
        <c:lblOffset val="100"/>
        <c:noMultiLvlLbl val="0"/>
      </c:catAx>
      <c:valAx>
        <c:axId val="232404559"/>
        <c:scaling>
          <c:orientation val="minMax"/>
        </c:scaling>
        <c:delete val="0"/>
        <c:axPos val="b"/>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3239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F0F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[retail_sales_dataset.xlsx]Pivot_Table_2!PivotTable7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7F8C8D"/>
              </a:gs>
              <a:gs pos="100000">
                <a:srgbClr val="1C2833"/>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Pivot_Table_2!$B$50</c:f>
              <c:strCache>
                <c:ptCount val="1"/>
                <c:pt idx="0">
                  <c:v>Total</c:v>
                </c:pt>
              </c:strCache>
            </c:strRef>
          </c:tx>
          <c:spPr>
            <a:gradFill>
              <a:gsLst>
                <a:gs pos="0">
                  <a:srgbClr val="7F8C8D"/>
                </a:gs>
                <a:gs pos="100000">
                  <a:srgbClr val="1C2833"/>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Pivot_Table_2!$A$51:$A$59</c:f>
              <c:strCache>
                <c:ptCount val="8"/>
                <c:pt idx="0">
                  <c:v>Aisha</c:v>
                </c:pt>
                <c:pt idx="1">
                  <c:v>Amit</c:v>
                </c:pt>
                <c:pt idx="2">
                  <c:v>John</c:v>
                </c:pt>
                <c:pt idx="3">
                  <c:v>Nisha</c:v>
                </c:pt>
                <c:pt idx="4">
                  <c:v>Priya</c:v>
                </c:pt>
                <c:pt idx="5">
                  <c:v>Ramesh</c:v>
                </c:pt>
                <c:pt idx="6">
                  <c:v>Sneha</c:v>
                </c:pt>
                <c:pt idx="7">
                  <c:v>Vikram</c:v>
                </c:pt>
              </c:strCache>
            </c:strRef>
          </c:cat>
          <c:val>
            <c:numRef>
              <c:f>Pivot_Table_2!$B$51:$B$59</c:f>
              <c:numCache>
                <c:formatCode>General</c:formatCode>
                <c:ptCount val="8"/>
                <c:pt idx="0">
                  <c:v>155</c:v>
                </c:pt>
                <c:pt idx="1">
                  <c:v>171</c:v>
                </c:pt>
                <c:pt idx="2">
                  <c:v>151</c:v>
                </c:pt>
                <c:pt idx="3">
                  <c:v>133</c:v>
                </c:pt>
                <c:pt idx="4">
                  <c:v>132</c:v>
                </c:pt>
                <c:pt idx="5">
                  <c:v>108</c:v>
                </c:pt>
                <c:pt idx="6">
                  <c:v>100</c:v>
                </c:pt>
                <c:pt idx="7">
                  <c:v>152</c:v>
                </c:pt>
              </c:numCache>
            </c:numRef>
          </c:val>
          <c:extLst>
            <c:ext xmlns:c16="http://schemas.microsoft.com/office/drawing/2014/chart" uri="{C3380CC4-5D6E-409C-BE32-E72D297353CC}">
              <c16:uniqueId val="{00000000-73D1-48BF-8BB7-2E0B2FCD76CA}"/>
            </c:ext>
          </c:extLst>
        </c:ser>
        <c:dLbls>
          <c:dLblPos val="outEnd"/>
          <c:showLegendKey val="0"/>
          <c:showVal val="1"/>
          <c:showCatName val="0"/>
          <c:showSerName val="0"/>
          <c:showPercent val="0"/>
          <c:showBubbleSize val="0"/>
        </c:dLbls>
        <c:gapWidth val="182"/>
        <c:axId val="239326815"/>
        <c:axId val="239331135"/>
      </c:barChart>
      <c:catAx>
        <c:axId val="239326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9331135"/>
        <c:crosses val="autoZero"/>
        <c:auto val="1"/>
        <c:lblAlgn val="ctr"/>
        <c:lblOffset val="100"/>
        <c:noMultiLvlLbl val="0"/>
      </c:catAx>
      <c:valAx>
        <c:axId val="239331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3932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F0F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[retail_sales_dataset.xlsx]Pivot_Table-3!PivotTable12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'Pivot_Table-3'!$B$19</c:f>
              <c:strCache>
                <c:ptCount val="1"/>
                <c:pt idx="0">
                  <c:v>Total</c:v>
                </c:pt>
              </c:strCache>
            </c:strRef>
          </c:tx>
          <c:spPr>
            <a:ln w="28575" cap="rnd">
              <a:solidFill>
                <a:schemeClr val="accent1"/>
              </a:solidFill>
              <a:round/>
            </a:ln>
            <a:effectLst/>
          </c:spPr>
          <c:marker>
            <c:symbol val="none"/>
          </c:marker>
          <c:cat>
            <c:strRef>
              <c:f>'Pivot_Table-3'!$A$20:$A$32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'Pivot_Table-3'!$B$20:$B$32</c:f>
              <c:numCache>
                <c:formatCode>"₹"#,##0.00,,"M"</c:formatCode>
                <c:ptCount val="12"/>
                <c:pt idx="0">
                  <c:v>2118464.9</c:v>
                </c:pt>
                <c:pt idx="1">
                  <c:v>2192128.9099999997</c:v>
                </c:pt>
                <c:pt idx="2">
                  <c:v>1976581.0300000003</c:v>
                </c:pt>
                <c:pt idx="3">
                  <c:v>1247148.1099999999</c:v>
                </c:pt>
                <c:pt idx="4">
                  <c:v>1934445.16</c:v>
                </c:pt>
                <c:pt idx="5">
                  <c:v>2432774.5999999996</c:v>
                </c:pt>
                <c:pt idx="6">
                  <c:v>2765036.8599999994</c:v>
                </c:pt>
                <c:pt idx="7">
                  <c:v>2113696.5699999998</c:v>
                </c:pt>
                <c:pt idx="8">
                  <c:v>2030347.7599999998</c:v>
                </c:pt>
                <c:pt idx="9">
                  <c:v>2592482.19</c:v>
                </c:pt>
                <c:pt idx="10">
                  <c:v>1167007.6000000001</c:v>
                </c:pt>
                <c:pt idx="11">
                  <c:v>1434867.8300000003</c:v>
                </c:pt>
              </c:numCache>
            </c:numRef>
          </c:val>
          <c:smooth val="0"/>
          <c:extLst>
            <c:ext xmlns:c16="http://schemas.microsoft.com/office/drawing/2014/chart" uri="{C3380CC4-5D6E-409C-BE32-E72D297353CC}">
              <c16:uniqueId val="{00000000-DC4D-4A88-8DC2-2137378F32C9}"/>
            </c:ext>
          </c:extLst>
        </c:ser>
        <c:dLbls>
          <c:showLegendKey val="0"/>
          <c:showVal val="0"/>
          <c:showCatName val="0"/>
          <c:showSerName val="0"/>
          <c:showPercent val="0"/>
          <c:showBubbleSize val="0"/>
        </c:dLbls>
        <c:smooth val="0"/>
        <c:axId val="464428031"/>
        <c:axId val="464428511"/>
      </c:lineChart>
      <c:catAx>
        <c:axId val="46442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428511"/>
        <c:crosses val="autoZero"/>
        <c:auto val="1"/>
        <c:lblAlgn val="ctr"/>
        <c:lblOffset val="100"/>
        <c:noMultiLvlLbl val="0"/>
      </c:catAx>
      <c:valAx>
        <c:axId val="464428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42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[retail_sales_dataset.xlsx]Pivot_Table-3!PivotTable13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'Pivot_Table-3'!$B$39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27-49CF-8C6F-ABD5FEFAE8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27-49CF-8C6F-ABD5FEFAE8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27-49CF-8C6F-ABD5FEFAE8A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27-49CF-8C6F-ABD5FEFAE8A8}"/>
              </c:ext>
            </c:extLst>
          </c:dPt>
          <c:cat>
            <c:strRef>
              <c:f>'Pivot_Table-3'!$A$40:$A$44</c:f>
              <c:strCache>
                <c:ptCount val="4"/>
                <c:pt idx="0">
                  <c:v>Clothing</c:v>
                </c:pt>
                <c:pt idx="1">
                  <c:v>Electronics</c:v>
                </c:pt>
                <c:pt idx="2">
                  <c:v>Furniture</c:v>
                </c:pt>
                <c:pt idx="3">
                  <c:v>Grocery</c:v>
                </c:pt>
              </c:strCache>
            </c:strRef>
          </c:cat>
          <c:val>
            <c:numRef>
              <c:f>'Pivot_Table-3'!$B$40:$B$44</c:f>
              <c:numCache>
                <c:formatCode>"₹"#,##0.00,,"M"</c:formatCode>
                <c:ptCount val="4"/>
                <c:pt idx="0">
                  <c:v>7643971.5199999986</c:v>
                </c:pt>
                <c:pt idx="1">
                  <c:v>4982964.7199999979</c:v>
                </c:pt>
                <c:pt idx="2">
                  <c:v>5367067.9099999992</c:v>
                </c:pt>
                <c:pt idx="3">
                  <c:v>6010977.3700000001</c:v>
                </c:pt>
              </c:numCache>
            </c:numRef>
          </c:val>
          <c:extLst>
            <c:ext xmlns:c16="http://schemas.microsoft.com/office/drawing/2014/chart" uri="{C3380CC4-5D6E-409C-BE32-E72D297353CC}">
              <c16:uniqueId val="{00000000-C3E0-487B-9D8B-6F6E4F27F30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[retail_sales_dataset.xlsx]Pivot_Table-3!PivotTable14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'Pivot_Table-3'!$B$55</c:f>
              <c:strCache>
                <c:ptCount val="1"/>
                <c:pt idx="0">
                  <c:v>Total</c:v>
                </c:pt>
              </c:strCache>
            </c:strRef>
          </c:tx>
          <c:spPr>
            <a:solidFill>
              <a:schemeClr val="accent1"/>
            </a:solidFill>
            <a:ln>
              <a:noFill/>
            </a:ln>
            <a:effectLst/>
          </c:spPr>
          <c:invertIfNegative val="0"/>
          <c:cat>
            <c:strRef>
              <c:f>'Pivot_Table-3'!$A$56:$A$60</c:f>
              <c:strCache>
                <c:ptCount val="4"/>
                <c:pt idx="0">
                  <c:v>East</c:v>
                </c:pt>
                <c:pt idx="1">
                  <c:v>North</c:v>
                </c:pt>
                <c:pt idx="2">
                  <c:v>South</c:v>
                </c:pt>
                <c:pt idx="3">
                  <c:v>West</c:v>
                </c:pt>
              </c:strCache>
            </c:strRef>
          </c:cat>
          <c:val>
            <c:numRef>
              <c:f>'Pivot_Table-3'!$B$56:$B$60</c:f>
              <c:numCache>
                <c:formatCode>"₹"#,##0.00,,"M"</c:formatCode>
                <c:ptCount val="4"/>
                <c:pt idx="0">
                  <c:v>4334263.3499999996</c:v>
                </c:pt>
                <c:pt idx="1">
                  <c:v>6708061.6499999994</c:v>
                </c:pt>
                <c:pt idx="2">
                  <c:v>6205315.25</c:v>
                </c:pt>
                <c:pt idx="3">
                  <c:v>6757341.2699999986</c:v>
                </c:pt>
              </c:numCache>
            </c:numRef>
          </c:val>
          <c:extLst>
            <c:ext xmlns:c16="http://schemas.microsoft.com/office/drawing/2014/chart" uri="{C3380CC4-5D6E-409C-BE32-E72D297353CC}">
              <c16:uniqueId val="{00000000-A1FB-40AD-9244-52DB8A98A1B9}"/>
            </c:ext>
          </c:extLst>
        </c:ser>
        <c:dLbls>
          <c:showLegendKey val="0"/>
          <c:showVal val="0"/>
          <c:showCatName val="0"/>
          <c:showSerName val="0"/>
          <c:showPercent val="0"/>
          <c:showBubbleSize val="0"/>
        </c:dLbls>
        <c:gapWidth val="150"/>
        <c:axId val="313059087"/>
        <c:axId val="313067247"/>
      </c:barChart>
      <c:catAx>
        <c:axId val="3130590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067247"/>
        <c:crosses val="autoZero"/>
        <c:auto val="1"/>
        <c:lblAlgn val="ctr"/>
        <c:lblOffset val="100"/>
        <c:noMultiLvlLbl val="0"/>
      </c:catAx>
      <c:valAx>
        <c:axId val="31306724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05908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[retail_sales_dataset.xlsx]Pivot_Table-3!PivotTable12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5B6CFA"/>
            </a:solidFill>
            <a:round/>
          </a:ln>
          <a:effectLst/>
        </c:spPr>
        <c:marker>
          <c:symbol val="diamond"/>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52915007070541"/>
          <c:y val="5.1177205246786095E-2"/>
          <c:w val="0.7939798975792105"/>
          <c:h val="0.87498773099902338"/>
        </c:manualLayout>
      </c:layout>
      <c:lineChart>
        <c:grouping val="standard"/>
        <c:varyColors val="0"/>
        <c:ser>
          <c:idx val="0"/>
          <c:order val="0"/>
          <c:tx>
            <c:strRef>
              <c:f>'Pivot_Table-3'!$B$19</c:f>
              <c:strCache>
                <c:ptCount val="1"/>
                <c:pt idx="0">
                  <c:v>Total</c:v>
                </c:pt>
              </c:strCache>
            </c:strRef>
          </c:tx>
          <c:spPr>
            <a:ln w="28575" cap="rnd">
              <a:solidFill>
                <a:srgbClr val="5B6CFA"/>
              </a:solidFill>
              <a:round/>
            </a:ln>
            <a:effectLst/>
          </c:spPr>
          <c:marker>
            <c:symbol val="diamond"/>
            <c:size val="5"/>
            <c:spPr>
              <a:solidFill>
                <a:schemeClr val="accent1"/>
              </a:solidFill>
              <a:ln w="9525">
                <a:solidFill>
                  <a:schemeClr val="accent1"/>
                </a:solidFill>
              </a:ln>
              <a:effectLst/>
            </c:spPr>
          </c:marker>
          <c:cat>
            <c:strRef>
              <c:f>'Pivot_Table-3'!$A$20:$A$32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'Pivot_Table-3'!$B$20:$B$32</c:f>
              <c:numCache>
                <c:formatCode>"₹"#,##0.00,,"M"</c:formatCode>
                <c:ptCount val="12"/>
                <c:pt idx="0">
                  <c:v>2118464.9</c:v>
                </c:pt>
                <c:pt idx="1">
                  <c:v>2192128.9099999997</c:v>
                </c:pt>
                <c:pt idx="2">
                  <c:v>1976581.0300000003</c:v>
                </c:pt>
                <c:pt idx="3">
                  <c:v>1247148.1099999999</c:v>
                </c:pt>
                <c:pt idx="4">
                  <c:v>1934445.16</c:v>
                </c:pt>
                <c:pt idx="5">
                  <c:v>2432774.5999999996</c:v>
                </c:pt>
                <c:pt idx="6">
                  <c:v>2765036.8599999994</c:v>
                </c:pt>
                <c:pt idx="7">
                  <c:v>2113696.5699999998</c:v>
                </c:pt>
                <c:pt idx="8">
                  <c:v>2030347.7599999998</c:v>
                </c:pt>
                <c:pt idx="9">
                  <c:v>2592482.19</c:v>
                </c:pt>
                <c:pt idx="10">
                  <c:v>1167007.6000000001</c:v>
                </c:pt>
                <c:pt idx="11">
                  <c:v>1434867.8300000003</c:v>
                </c:pt>
              </c:numCache>
            </c:numRef>
          </c:val>
          <c:smooth val="1"/>
          <c:extLst>
            <c:ext xmlns:c16="http://schemas.microsoft.com/office/drawing/2014/chart" uri="{C3380CC4-5D6E-409C-BE32-E72D297353CC}">
              <c16:uniqueId val="{00000000-83F3-40E3-BB64-3FCD32666BB5}"/>
            </c:ext>
          </c:extLst>
        </c:ser>
        <c:dLbls>
          <c:showLegendKey val="0"/>
          <c:showVal val="0"/>
          <c:showCatName val="0"/>
          <c:showSerName val="0"/>
          <c:showPercent val="0"/>
          <c:showBubbleSize val="0"/>
        </c:dLbls>
        <c:marker val="1"/>
        <c:smooth val="0"/>
        <c:axId val="464428031"/>
        <c:axId val="464428511"/>
      </c:lineChart>
      <c:catAx>
        <c:axId val="46442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464428511"/>
        <c:crosses val="autoZero"/>
        <c:auto val="1"/>
        <c:lblAlgn val="ctr"/>
        <c:lblOffset val="100"/>
        <c:noMultiLvlLbl val="0"/>
      </c:catAx>
      <c:valAx>
        <c:axId val="464428511"/>
        <c:scaling>
          <c:orientation val="minMax"/>
        </c:scaling>
        <c:delete val="0"/>
        <c:axPos val="l"/>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46442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[retail_sales_dataset.xlsx]Pivot_Table-3!PivotTable13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6CFA"/>
          </a:solidFill>
          <a:ln w="19050">
            <a:solidFill>
              <a:schemeClr val="lt1"/>
            </a:solidFill>
          </a:ln>
          <a:effectLst/>
        </c:spPr>
      </c:pivotFmt>
      <c:pivotFmt>
        <c:idx val="8"/>
        <c:spPr>
          <a:solidFill>
            <a:srgbClr val="F28482"/>
          </a:solidFill>
          <a:ln w="19050">
            <a:solidFill>
              <a:schemeClr val="lt1"/>
            </a:solidFill>
          </a:ln>
          <a:effectLst/>
        </c:spPr>
      </c:pivotFmt>
      <c:pivotFmt>
        <c:idx val="9"/>
        <c:spPr>
          <a:solidFill>
            <a:srgbClr val="4FD1C5"/>
          </a:solidFill>
          <a:ln w="19050">
            <a:solidFill>
              <a:schemeClr val="lt1"/>
            </a:solidFill>
          </a:ln>
          <a:effectLst/>
        </c:spPr>
      </c:pivotFmt>
      <c:pivotFmt>
        <c:idx val="10"/>
        <c:spPr>
          <a:solidFill>
            <a:srgbClr val="8E7BFA"/>
          </a:solidFill>
          <a:ln w="19050">
            <a:solidFill>
              <a:schemeClr val="lt1"/>
            </a:solidFill>
          </a:ln>
          <a:effectLst/>
        </c:spPr>
      </c:pivotFmt>
    </c:pivotFmts>
    <c:plotArea>
      <c:layout/>
      <c:pieChart>
        <c:varyColors val="1"/>
        <c:ser>
          <c:idx val="0"/>
          <c:order val="0"/>
          <c:tx>
            <c:strRef>
              <c:f>'Pivot_Table-3'!$B$39</c:f>
              <c:strCache>
                <c:ptCount val="1"/>
                <c:pt idx="0">
                  <c:v>Total</c:v>
                </c:pt>
              </c:strCache>
            </c:strRef>
          </c:tx>
          <c:dPt>
            <c:idx val="0"/>
            <c:bubble3D val="0"/>
            <c:spPr>
              <a:solidFill>
                <a:srgbClr val="5B6CFA"/>
              </a:solidFill>
              <a:ln w="19050">
                <a:solidFill>
                  <a:schemeClr val="lt1"/>
                </a:solidFill>
              </a:ln>
              <a:effectLst/>
            </c:spPr>
            <c:extLst>
              <c:ext xmlns:c16="http://schemas.microsoft.com/office/drawing/2014/chart" uri="{C3380CC4-5D6E-409C-BE32-E72D297353CC}">
                <c16:uniqueId val="{00000001-FE79-4BCF-B97B-CA6B2712F7C1}"/>
              </c:ext>
            </c:extLst>
          </c:dPt>
          <c:dPt>
            <c:idx val="1"/>
            <c:bubble3D val="0"/>
            <c:spPr>
              <a:solidFill>
                <a:srgbClr val="F28482"/>
              </a:solidFill>
              <a:ln w="19050">
                <a:solidFill>
                  <a:schemeClr val="lt1"/>
                </a:solidFill>
              </a:ln>
              <a:effectLst/>
            </c:spPr>
            <c:extLst>
              <c:ext xmlns:c16="http://schemas.microsoft.com/office/drawing/2014/chart" uri="{C3380CC4-5D6E-409C-BE32-E72D297353CC}">
                <c16:uniqueId val="{00000003-FE79-4BCF-B97B-CA6B2712F7C1}"/>
              </c:ext>
            </c:extLst>
          </c:dPt>
          <c:dPt>
            <c:idx val="2"/>
            <c:bubble3D val="0"/>
            <c:spPr>
              <a:solidFill>
                <a:srgbClr val="4FD1C5"/>
              </a:solidFill>
              <a:ln w="19050">
                <a:solidFill>
                  <a:schemeClr val="lt1"/>
                </a:solidFill>
              </a:ln>
              <a:effectLst/>
            </c:spPr>
            <c:extLst>
              <c:ext xmlns:c16="http://schemas.microsoft.com/office/drawing/2014/chart" uri="{C3380CC4-5D6E-409C-BE32-E72D297353CC}">
                <c16:uniqueId val="{00000005-FE79-4BCF-B97B-CA6B2712F7C1}"/>
              </c:ext>
            </c:extLst>
          </c:dPt>
          <c:dPt>
            <c:idx val="3"/>
            <c:bubble3D val="0"/>
            <c:spPr>
              <a:solidFill>
                <a:srgbClr val="8E7BFA"/>
              </a:solidFill>
              <a:ln w="19050">
                <a:solidFill>
                  <a:schemeClr val="lt1"/>
                </a:solidFill>
              </a:ln>
              <a:effectLst/>
            </c:spPr>
            <c:extLst>
              <c:ext xmlns:c16="http://schemas.microsoft.com/office/drawing/2014/chart" uri="{C3380CC4-5D6E-409C-BE32-E72D297353CC}">
                <c16:uniqueId val="{00000007-FE79-4BCF-B97B-CA6B2712F7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'Pivot_Table-3'!$A$40:$A$44</c:f>
              <c:strCache>
                <c:ptCount val="4"/>
                <c:pt idx="0">
                  <c:v>Clothing</c:v>
                </c:pt>
                <c:pt idx="1">
                  <c:v>Electronics</c:v>
                </c:pt>
                <c:pt idx="2">
                  <c:v>Furniture</c:v>
                </c:pt>
                <c:pt idx="3">
                  <c:v>Grocery</c:v>
                </c:pt>
              </c:strCache>
            </c:strRef>
          </c:cat>
          <c:val>
            <c:numRef>
              <c:f>'Pivot_Table-3'!$B$40:$B$44</c:f>
              <c:numCache>
                <c:formatCode>"₹"#,##0.00,,"M"</c:formatCode>
                <c:ptCount val="4"/>
                <c:pt idx="0">
                  <c:v>7643971.5199999986</c:v>
                </c:pt>
                <c:pt idx="1">
                  <c:v>4982964.7199999979</c:v>
                </c:pt>
                <c:pt idx="2">
                  <c:v>5367067.9099999992</c:v>
                </c:pt>
                <c:pt idx="3">
                  <c:v>6010977.3700000001</c:v>
                </c:pt>
              </c:numCache>
            </c:numRef>
          </c:val>
          <c:extLst>
            <c:ext xmlns:c16="http://schemas.microsoft.com/office/drawing/2014/chart" uri="{C3380CC4-5D6E-409C-BE32-E72D297353CC}">
              <c16:uniqueId val="{00000008-FE79-4BCF-B97B-CA6B2712F7C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[retail_sales_dataset.xlsx]Pivot_Table-3!PivotTable14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B6C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'Pivot_Table-3'!$B$55</c:f>
              <c:strCache>
                <c:ptCount val="1"/>
                <c:pt idx="0">
                  <c:v>Total</c:v>
                </c:pt>
              </c:strCache>
            </c:strRef>
          </c:tx>
          <c:spPr>
            <a:solidFill>
              <a:srgbClr val="5B6CF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'Pivot_Table-3'!$A$56:$A$60</c:f>
              <c:strCache>
                <c:ptCount val="4"/>
                <c:pt idx="0">
                  <c:v>East</c:v>
                </c:pt>
                <c:pt idx="1">
                  <c:v>North</c:v>
                </c:pt>
                <c:pt idx="2">
                  <c:v>South</c:v>
                </c:pt>
                <c:pt idx="3">
                  <c:v>West</c:v>
                </c:pt>
              </c:strCache>
            </c:strRef>
          </c:cat>
          <c:val>
            <c:numRef>
              <c:f>'Pivot_Table-3'!$B$56:$B$60</c:f>
              <c:numCache>
                <c:formatCode>"₹"#,##0.00,,"M"</c:formatCode>
                <c:ptCount val="4"/>
                <c:pt idx="0">
                  <c:v>4334263.3499999996</c:v>
                </c:pt>
                <c:pt idx="1">
                  <c:v>6708061.6499999994</c:v>
                </c:pt>
                <c:pt idx="2">
                  <c:v>6205315.25</c:v>
                </c:pt>
                <c:pt idx="3">
                  <c:v>6757341.2699999986</c:v>
                </c:pt>
              </c:numCache>
            </c:numRef>
          </c:val>
          <c:extLst>
            <c:ext xmlns:c16="http://schemas.microsoft.com/office/drawing/2014/chart" uri="{C3380CC4-5D6E-409C-BE32-E72D297353CC}">
              <c16:uniqueId val="{00000000-52DE-4096-85E8-4E98A5DF2FA6}"/>
            </c:ext>
          </c:extLst>
        </c:ser>
        <c:dLbls>
          <c:showLegendKey val="0"/>
          <c:showVal val="0"/>
          <c:showCatName val="0"/>
          <c:showSerName val="0"/>
          <c:showPercent val="0"/>
          <c:showBubbleSize val="0"/>
        </c:dLbls>
        <c:gapWidth val="150"/>
        <c:axId val="313059087"/>
        <c:axId val="313067247"/>
      </c:barChart>
      <c:catAx>
        <c:axId val="3130590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13067247"/>
        <c:crosses val="autoZero"/>
        <c:auto val="1"/>
        <c:lblAlgn val="ctr"/>
        <c:lblOffset val="100"/>
        <c:noMultiLvlLbl val="0"/>
      </c:catAx>
      <c:valAx>
        <c:axId val="313067247"/>
        <c:scaling>
          <c:orientation val="minMax"/>
        </c:scaling>
        <c:delete val="0"/>
        <c:axPos val="b"/>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1305908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[retail_sales_dataset.xlsx]Pivot_Table_1!PivotTable31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83964333225475"/>
          <c:y val="5.2328583650243558E-2"/>
          <c:w val="0.65971249006718202"/>
          <c:h val="0.91523669431430943"/>
        </c:manualLayout>
      </c:layout>
      <c:barChart>
        <c:barDir val="bar"/>
        <c:grouping val="clustered"/>
        <c:varyColors val="0"/>
        <c:ser>
          <c:idx val="0"/>
          <c:order val="0"/>
          <c:tx>
            <c:strRef>
              <c:f>Pivot_Table_1!$B$13</c:f>
              <c:strCache>
                <c:ptCount val="1"/>
                <c:pt idx="0">
                  <c:v>Total</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Pivot_Table_1!$A$14:$A$19</c:f>
              <c:strCache>
                <c:ptCount val="5"/>
                <c:pt idx="0">
                  <c:v>Delhi</c:v>
                </c:pt>
                <c:pt idx="1">
                  <c:v>Kerala</c:v>
                </c:pt>
                <c:pt idx="2">
                  <c:v>Rajasthan</c:v>
                </c:pt>
                <c:pt idx="3">
                  <c:v>Maharashtra</c:v>
                </c:pt>
                <c:pt idx="4">
                  <c:v>Haryana</c:v>
                </c:pt>
              </c:strCache>
            </c:strRef>
          </c:cat>
          <c:val>
            <c:numRef>
              <c:f>Pivot_Table_1!$B$14:$B$19</c:f>
              <c:numCache>
                <c:formatCode>#,##0.00,,"M"</c:formatCode>
                <c:ptCount val="5"/>
                <c:pt idx="0">
                  <c:v>1709818.94</c:v>
                </c:pt>
                <c:pt idx="1">
                  <c:v>1950815.96</c:v>
                </c:pt>
                <c:pt idx="2">
                  <c:v>1985123.41</c:v>
                </c:pt>
                <c:pt idx="3">
                  <c:v>2090269.9</c:v>
                </c:pt>
                <c:pt idx="4">
                  <c:v>2522754.8100000005</c:v>
                </c:pt>
              </c:numCache>
            </c:numRef>
          </c:val>
          <c:extLst>
            <c:ext xmlns:c16="http://schemas.microsoft.com/office/drawing/2014/chart" uri="{C3380CC4-5D6E-409C-BE32-E72D297353CC}">
              <c16:uniqueId val="{00000000-56B3-4A96-BBBE-9DE1A31680FD}"/>
            </c:ext>
          </c:extLst>
        </c:ser>
        <c:dLbls>
          <c:showLegendKey val="0"/>
          <c:showVal val="0"/>
          <c:showCatName val="0"/>
          <c:showSerName val="0"/>
          <c:showPercent val="0"/>
          <c:showBubbleSize val="0"/>
        </c:dLbls>
        <c:gapWidth val="182"/>
        <c:axId val="983566655"/>
        <c:axId val="983567615"/>
      </c:barChart>
      <c:catAx>
        <c:axId val="98356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983567615"/>
        <c:crosses val="autoZero"/>
        <c:auto val="1"/>
        <c:lblAlgn val="ctr"/>
        <c:lblOffset val="100"/>
        <c:noMultiLvlLbl val="0"/>
      </c:catAx>
      <c:valAx>
        <c:axId val="983567615"/>
        <c:scaling>
          <c:orientation val="minMax"/>
        </c:scaling>
        <c:delete val="1"/>
        <c:axPos val="b"/>
        <c:numFmt formatCode="#,##0.00,,&quot;M&quot;" sourceLinked="1"/>
        <c:majorTickMark val="none"/>
        <c:minorTickMark val="none"/>
        <c:tickLblPos val="nextTo"/>
        <c:crossAx val="98356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Pivot_Table_1!$H$39</c:f>
              <c:strCache>
                <c:ptCount val="1"/>
                <c:pt idx="0">
                  <c:v>Sales</c:v>
                </c:pt>
              </c:strCache>
            </c:strRef>
          </c:tx>
          <c:spPr>
            <a:ln w="28575" cap="rnd">
              <a:noFill/>
              <a:round/>
            </a:ln>
            <a:effectLst/>
          </c:spPr>
          <c:marker>
            <c:symbol val="circle"/>
            <c:size val="5"/>
            <c:spPr>
              <a:solidFill>
                <a:schemeClr val="accent1"/>
              </a:solidFill>
              <a:ln w="9525">
                <a:solidFill>
                  <a:schemeClr val="accent1"/>
                </a:solidFill>
              </a:ln>
              <a:effectLst/>
            </c:spPr>
          </c:marker>
          <c:xVal>
            <c:numRef>
              <c:f>Pivot_Table_1!$G$40:$G$239</c:f>
              <c:numCache>
                <c:formatCode>General</c:formatCode>
                <c:ptCount val="200"/>
                <c:pt idx="0">
                  <c:v>1001</c:v>
                </c:pt>
                <c:pt idx="1">
                  <c:v>1002</c:v>
                </c:pt>
                <c:pt idx="2">
                  <c:v>1003</c:v>
                </c:pt>
                <c:pt idx="3">
                  <c:v>1004</c:v>
                </c:pt>
                <c:pt idx="4">
                  <c:v>1005</c:v>
                </c:pt>
                <c:pt idx="5">
                  <c:v>1006</c:v>
                </c:pt>
                <c:pt idx="6">
                  <c:v>1007</c:v>
                </c:pt>
                <c:pt idx="7">
                  <c:v>1008</c:v>
                </c:pt>
                <c:pt idx="8">
                  <c:v>1009</c:v>
                </c:pt>
                <c:pt idx="9">
                  <c:v>1010</c:v>
                </c:pt>
                <c:pt idx="10">
                  <c:v>1011</c:v>
                </c:pt>
                <c:pt idx="11">
                  <c:v>1012</c:v>
                </c:pt>
                <c:pt idx="12">
                  <c:v>1013</c:v>
                </c:pt>
                <c:pt idx="13">
                  <c:v>1014</c:v>
                </c:pt>
                <c:pt idx="14">
                  <c:v>1015</c:v>
                </c:pt>
                <c:pt idx="15">
                  <c:v>1016</c:v>
                </c:pt>
                <c:pt idx="16">
                  <c:v>1017</c:v>
                </c:pt>
                <c:pt idx="17">
                  <c:v>1018</c:v>
                </c:pt>
                <c:pt idx="18">
                  <c:v>1019</c:v>
                </c:pt>
                <c:pt idx="19">
                  <c:v>1020</c:v>
                </c:pt>
                <c:pt idx="20">
                  <c:v>1021</c:v>
                </c:pt>
                <c:pt idx="21">
                  <c:v>1022</c:v>
                </c:pt>
                <c:pt idx="22">
                  <c:v>1023</c:v>
                </c:pt>
                <c:pt idx="23">
                  <c:v>1024</c:v>
                </c:pt>
                <c:pt idx="24">
                  <c:v>1025</c:v>
                </c:pt>
                <c:pt idx="25">
                  <c:v>1026</c:v>
                </c:pt>
                <c:pt idx="26">
                  <c:v>1027</c:v>
                </c:pt>
                <c:pt idx="27">
                  <c:v>1028</c:v>
                </c:pt>
                <c:pt idx="28">
                  <c:v>1029</c:v>
                </c:pt>
                <c:pt idx="29">
                  <c:v>1030</c:v>
                </c:pt>
                <c:pt idx="30">
                  <c:v>1031</c:v>
                </c:pt>
                <c:pt idx="31">
                  <c:v>1032</c:v>
                </c:pt>
                <c:pt idx="32">
                  <c:v>1033</c:v>
                </c:pt>
                <c:pt idx="33">
                  <c:v>1034</c:v>
                </c:pt>
                <c:pt idx="34">
                  <c:v>1035</c:v>
                </c:pt>
                <c:pt idx="35">
                  <c:v>1036</c:v>
                </c:pt>
                <c:pt idx="36">
                  <c:v>1037</c:v>
                </c:pt>
                <c:pt idx="37">
                  <c:v>1038</c:v>
                </c:pt>
                <c:pt idx="38">
                  <c:v>1039</c:v>
                </c:pt>
                <c:pt idx="39">
                  <c:v>1040</c:v>
                </c:pt>
                <c:pt idx="40">
                  <c:v>1041</c:v>
                </c:pt>
                <c:pt idx="41">
                  <c:v>1042</c:v>
                </c:pt>
                <c:pt idx="42">
                  <c:v>1043</c:v>
                </c:pt>
                <c:pt idx="43">
                  <c:v>1044</c:v>
                </c:pt>
                <c:pt idx="44">
                  <c:v>1045</c:v>
                </c:pt>
                <c:pt idx="45">
                  <c:v>1046</c:v>
                </c:pt>
                <c:pt idx="46">
                  <c:v>1047</c:v>
                </c:pt>
                <c:pt idx="47">
                  <c:v>1048</c:v>
                </c:pt>
                <c:pt idx="48">
                  <c:v>1049</c:v>
                </c:pt>
                <c:pt idx="49">
                  <c:v>1050</c:v>
                </c:pt>
                <c:pt idx="50">
                  <c:v>1051</c:v>
                </c:pt>
                <c:pt idx="51">
                  <c:v>1052</c:v>
                </c:pt>
                <c:pt idx="52">
                  <c:v>1053</c:v>
                </c:pt>
                <c:pt idx="53">
                  <c:v>1054</c:v>
                </c:pt>
                <c:pt idx="54">
                  <c:v>1055</c:v>
                </c:pt>
                <c:pt idx="55">
                  <c:v>1056</c:v>
                </c:pt>
                <c:pt idx="56">
                  <c:v>1057</c:v>
                </c:pt>
                <c:pt idx="57">
                  <c:v>1058</c:v>
                </c:pt>
                <c:pt idx="58">
                  <c:v>1059</c:v>
                </c:pt>
                <c:pt idx="59">
                  <c:v>1060</c:v>
                </c:pt>
                <c:pt idx="60">
                  <c:v>1061</c:v>
                </c:pt>
                <c:pt idx="61">
                  <c:v>1062</c:v>
                </c:pt>
                <c:pt idx="62">
                  <c:v>1063</c:v>
                </c:pt>
                <c:pt idx="63">
                  <c:v>1064</c:v>
                </c:pt>
                <c:pt idx="64">
                  <c:v>1065</c:v>
                </c:pt>
                <c:pt idx="65">
                  <c:v>1066</c:v>
                </c:pt>
                <c:pt idx="66">
                  <c:v>1067</c:v>
                </c:pt>
                <c:pt idx="67">
                  <c:v>1068</c:v>
                </c:pt>
                <c:pt idx="68">
                  <c:v>1069</c:v>
                </c:pt>
                <c:pt idx="69">
                  <c:v>1070</c:v>
                </c:pt>
                <c:pt idx="70">
                  <c:v>1071</c:v>
                </c:pt>
                <c:pt idx="71">
                  <c:v>1072</c:v>
                </c:pt>
                <c:pt idx="72">
                  <c:v>1073</c:v>
                </c:pt>
                <c:pt idx="73">
                  <c:v>1074</c:v>
                </c:pt>
                <c:pt idx="74">
                  <c:v>1075</c:v>
                </c:pt>
                <c:pt idx="75">
                  <c:v>1076</c:v>
                </c:pt>
                <c:pt idx="76">
                  <c:v>1077</c:v>
                </c:pt>
                <c:pt idx="77">
                  <c:v>1078</c:v>
                </c:pt>
                <c:pt idx="78">
                  <c:v>1079</c:v>
                </c:pt>
                <c:pt idx="79">
                  <c:v>1080</c:v>
                </c:pt>
                <c:pt idx="80">
                  <c:v>1081</c:v>
                </c:pt>
                <c:pt idx="81">
                  <c:v>1082</c:v>
                </c:pt>
                <c:pt idx="82">
                  <c:v>1083</c:v>
                </c:pt>
                <c:pt idx="83">
                  <c:v>1084</c:v>
                </c:pt>
                <c:pt idx="84">
                  <c:v>1085</c:v>
                </c:pt>
                <c:pt idx="85">
                  <c:v>1086</c:v>
                </c:pt>
                <c:pt idx="86">
                  <c:v>1087</c:v>
                </c:pt>
                <c:pt idx="87">
                  <c:v>1088</c:v>
                </c:pt>
                <c:pt idx="88">
                  <c:v>1089</c:v>
                </c:pt>
                <c:pt idx="89">
                  <c:v>1090</c:v>
                </c:pt>
                <c:pt idx="90">
                  <c:v>1091</c:v>
                </c:pt>
                <c:pt idx="91">
                  <c:v>1092</c:v>
                </c:pt>
                <c:pt idx="92">
                  <c:v>1093</c:v>
                </c:pt>
                <c:pt idx="93">
                  <c:v>1094</c:v>
                </c:pt>
                <c:pt idx="94">
                  <c:v>1095</c:v>
                </c:pt>
                <c:pt idx="95">
                  <c:v>1096</c:v>
                </c:pt>
                <c:pt idx="96">
                  <c:v>1097</c:v>
                </c:pt>
                <c:pt idx="97">
                  <c:v>1098</c:v>
                </c:pt>
                <c:pt idx="98">
                  <c:v>1099</c:v>
                </c:pt>
                <c:pt idx="99">
                  <c:v>1100</c:v>
                </c:pt>
                <c:pt idx="100">
                  <c:v>1101</c:v>
                </c:pt>
                <c:pt idx="101">
                  <c:v>1102</c:v>
                </c:pt>
                <c:pt idx="102">
                  <c:v>1103</c:v>
                </c:pt>
                <c:pt idx="103">
                  <c:v>1104</c:v>
                </c:pt>
                <c:pt idx="104">
                  <c:v>1105</c:v>
                </c:pt>
                <c:pt idx="105">
                  <c:v>1106</c:v>
                </c:pt>
                <c:pt idx="106">
                  <c:v>1107</c:v>
                </c:pt>
                <c:pt idx="107">
                  <c:v>1108</c:v>
                </c:pt>
                <c:pt idx="108">
                  <c:v>1109</c:v>
                </c:pt>
                <c:pt idx="109">
                  <c:v>1110</c:v>
                </c:pt>
                <c:pt idx="110">
                  <c:v>1111</c:v>
                </c:pt>
                <c:pt idx="111">
                  <c:v>1112</c:v>
                </c:pt>
                <c:pt idx="112">
                  <c:v>1113</c:v>
                </c:pt>
                <c:pt idx="113">
                  <c:v>1114</c:v>
                </c:pt>
                <c:pt idx="114">
                  <c:v>1115</c:v>
                </c:pt>
                <c:pt idx="115">
                  <c:v>1116</c:v>
                </c:pt>
                <c:pt idx="116">
                  <c:v>1117</c:v>
                </c:pt>
                <c:pt idx="117">
                  <c:v>1118</c:v>
                </c:pt>
                <c:pt idx="118">
                  <c:v>1119</c:v>
                </c:pt>
                <c:pt idx="119">
                  <c:v>1120</c:v>
                </c:pt>
                <c:pt idx="120">
                  <c:v>1121</c:v>
                </c:pt>
                <c:pt idx="121">
                  <c:v>1122</c:v>
                </c:pt>
                <c:pt idx="122">
                  <c:v>1123</c:v>
                </c:pt>
                <c:pt idx="123">
                  <c:v>1124</c:v>
                </c:pt>
                <c:pt idx="124">
                  <c:v>1125</c:v>
                </c:pt>
                <c:pt idx="125">
                  <c:v>1126</c:v>
                </c:pt>
                <c:pt idx="126">
                  <c:v>1127</c:v>
                </c:pt>
                <c:pt idx="127">
                  <c:v>1128</c:v>
                </c:pt>
                <c:pt idx="128">
                  <c:v>1129</c:v>
                </c:pt>
                <c:pt idx="129">
                  <c:v>1130</c:v>
                </c:pt>
                <c:pt idx="130">
                  <c:v>1131</c:v>
                </c:pt>
                <c:pt idx="131">
                  <c:v>1132</c:v>
                </c:pt>
                <c:pt idx="132">
                  <c:v>1133</c:v>
                </c:pt>
                <c:pt idx="133">
                  <c:v>1134</c:v>
                </c:pt>
                <c:pt idx="134">
                  <c:v>1135</c:v>
                </c:pt>
                <c:pt idx="135">
                  <c:v>1136</c:v>
                </c:pt>
                <c:pt idx="136">
                  <c:v>1137</c:v>
                </c:pt>
                <c:pt idx="137">
                  <c:v>1138</c:v>
                </c:pt>
                <c:pt idx="138">
                  <c:v>1139</c:v>
                </c:pt>
                <c:pt idx="139">
                  <c:v>1140</c:v>
                </c:pt>
                <c:pt idx="140">
                  <c:v>1141</c:v>
                </c:pt>
                <c:pt idx="141">
                  <c:v>1142</c:v>
                </c:pt>
                <c:pt idx="142">
                  <c:v>1143</c:v>
                </c:pt>
                <c:pt idx="143">
                  <c:v>1144</c:v>
                </c:pt>
                <c:pt idx="144">
                  <c:v>1145</c:v>
                </c:pt>
                <c:pt idx="145">
                  <c:v>1146</c:v>
                </c:pt>
                <c:pt idx="146">
                  <c:v>1147</c:v>
                </c:pt>
                <c:pt idx="147">
                  <c:v>1148</c:v>
                </c:pt>
                <c:pt idx="148">
                  <c:v>1149</c:v>
                </c:pt>
                <c:pt idx="149">
                  <c:v>1150</c:v>
                </c:pt>
                <c:pt idx="150">
                  <c:v>1151</c:v>
                </c:pt>
                <c:pt idx="151">
                  <c:v>1152</c:v>
                </c:pt>
                <c:pt idx="152">
                  <c:v>1153</c:v>
                </c:pt>
                <c:pt idx="153">
                  <c:v>1154</c:v>
                </c:pt>
                <c:pt idx="154">
                  <c:v>1155</c:v>
                </c:pt>
                <c:pt idx="155">
                  <c:v>1156</c:v>
                </c:pt>
                <c:pt idx="156">
                  <c:v>1157</c:v>
                </c:pt>
                <c:pt idx="157">
                  <c:v>1158</c:v>
                </c:pt>
                <c:pt idx="158">
                  <c:v>1159</c:v>
                </c:pt>
                <c:pt idx="159">
                  <c:v>1160</c:v>
                </c:pt>
                <c:pt idx="160">
                  <c:v>1161</c:v>
                </c:pt>
                <c:pt idx="161">
                  <c:v>1162</c:v>
                </c:pt>
                <c:pt idx="162">
                  <c:v>1163</c:v>
                </c:pt>
                <c:pt idx="163">
                  <c:v>1164</c:v>
                </c:pt>
                <c:pt idx="164">
                  <c:v>1165</c:v>
                </c:pt>
                <c:pt idx="165">
                  <c:v>1166</c:v>
                </c:pt>
                <c:pt idx="166">
                  <c:v>1167</c:v>
                </c:pt>
                <c:pt idx="167">
                  <c:v>1168</c:v>
                </c:pt>
                <c:pt idx="168">
                  <c:v>1169</c:v>
                </c:pt>
                <c:pt idx="169">
                  <c:v>1170</c:v>
                </c:pt>
                <c:pt idx="170">
                  <c:v>1171</c:v>
                </c:pt>
                <c:pt idx="171">
                  <c:v>1172</c:v>
                </c:pt>
                <c:pt idx="172">
                  <c:v>1173</c:v>
                </c:pt>
                <c:pt idx="173">
                  <c:v>1174</c:v>
                </c:pt>
                <c:pt idx="174">
                  <c:v>1175</c:v>
                </c:pt>
                <c:pt idx="175">
                  <c:v>1176</c:v>
                </c:pt>
                <c:pt idx="176">
                  <c:v>1177</c:v>
                </c:pt>
                <c:pt idx="177">
                  <c:v>1178</c:v>
                </c:pt>
                <c:pt idx="178">
                  <c:v>1179</c:v>
                </c:pt>
                <c:pt idx="179">
                  <c:v>1180</c:v>
                </c:pt>
                <c:pt idx="180">
                  <c:v>1181</c:v>
                </c:pt>
                <c:pt idx="181">
                  <c:v>1182</c:v>
                </c:pt>
                <c:pt idx="182">
                  <c:v>1183</c:v>
                </c:pt>
                <c:pt idx="183">
                  <c:v>1184</c:v>
                </c:pt>
                <c:pt idx="184">
                  <c:v>1185</c:v>
                </c:pt>
                <c:pt idx="185">
                  <c:v>1186</c:v>
                </c:pt>
                <c:pt idx="186">
                  <c:v>1187</c:v>
                </c:pt>
                <c:pt idx="187">
                  <c:v>1188</c:v>
                </c:pt>
                <c:pt idx="188">
                  <c:v>1189</c:v>
                </c:pt>
                <c:pt idx="189">
                  <c:v>1190</c:v>
                </c:pt>
                <c:pt idx="190">
                  <c:v>1191</c:v>
                </c:pt>
                <c:pt idx="191">
                  <c:v>1192</c:v>
                </c:pt>
                <c:pt idx="192">
                  <c:v>1193</c:v>
                </c:pt>
                <c:pt idx="193">
                  <c:v>1194</c:v>
                </c:pt>
                <c:pt idx="194">
                  <c:v>1195</c:v>
                </c:pt>
                <c:pt idx="195">
                  <c:v>1196</c:v>
                </c:pt>
                <c:pt idx="196">
                  <c:v>1197</c:v>
                </c:pt>
                <c:pt idx="197">
                  <c:v>1198</c:v>
                </c:pt>
                <c:pt idx="198">
                  <c:v>1199</c:v>
                </c:pt>
                <c:pt idx="199">
                  <c:v>1200</c:v>
                </c:pt>
              </c:numCache>
            </c:numRef>
          </c:xVal>
          <c:yVal>
            <c:numRef>
              <c:f>Pivot_Table_1!$H$40:$H$239</c:f>
              <c:numCache>
                <c:formatCode>"₹"#,##0.00,"K"</c:formatCode>
                <c:ptCount val="200"/>
                <c:pt idx="0">
                  <c:v>296145</c:v>
                </c:pt>
                <c:pt idx="1">
                  <c:v>362970</c:v>
                </c:pt>
                <c:pt idx="2">
                  <c:v>92610</c:v>
                </c:pt>
                <c:pt idx="3">
                  <c:v>261464</c:v>
                </c:pt>
                <c:pt idx="4">
                  <c:v>244056</c:v>
                </c:pt>
                <c:pt idx="5">
                  <c:v>142668</c:v>
                </c:pt>
                <c:pt idx="6">
                  <c:v>81944</c:v>
                </c:pt>
                <c:pt idx="7">
                  <c:v>19104</c:v>
                </c:pt>
                <c:pt idx="8">
                  <c:v>75858</c:v>
                </c:pt>
                <c:pt idx="9">
                  <c:v>45849</c:v>
                </c:pt>
                <c:pt idx="10">
                  <c:v>207088</c:v>
                </c:pt>
                <c:pt idx="11">
                  <c:v>13617</c:v>
                </c:pt>
                <c:pt idx="12">
                  <c:v>103761</c:v>
                </c:pt>
                <c:pt idx="13">
                  <c:v>65668</c:v>
                </c:pt>
                <c:pt idx="14">
                  <c:v>26572</c:v>
                </c:pt>
                <c:pt idx="15">
                  <c:v>157992</c:v>
                </c:pt>
                <c:pt idx="16">
                  <c:v>27342</c:v>
                </c:pt>
                <c:pt idx="17">
                  <c:v>410481</c:v>
                </c:pt>
                <c:pt idx="18">
                  <c:v>40050</c:v>
                </c:pt>
                <c:pt idx="19">
                  <c:v>12018</c:v>
                </c:pt>
                <c:pt idx="20">
                  <c:v>63502</c:v>
                </c:pt>
                <c:pt idx="21">
                  <c:v>40620</c:v>
                </c:pt>
                <c:pt idx="22">
                  <c:v>154266</c:v>
                </c:pt>
                <c:pt idx="23">
                  <c:v>86319</c:v>
                </c:pt>
                <c:pt idx="24">
                  <c:v>44146</c:v>
                </c:pt>
                <c:pt idx="25">
                  <c:v>16541</c:v>
                </c:pt>
                <c:pt idx="26">
                  <c:v>257</c:v>
                </c:pt>
                <c:pt idx="27">
                  <c:v>271334</c:v>
                </c:pt>
                <c:pt idx="28">
                  <c:v>46950</c:v>
                </c:pt>
                <c:pt idx="29">
                  <c:v>101695</c:v>
                </c:pt>
                <c:pt idx="30">
                  <c:v>227857</c:v>
                </c:pt>
                <c:pt idx="31">
                  <c:v>69055</c:v>
                </c:pt>
                <c:pt idx="32">
                  <c:v>273380</c:v>
                </c:pt>
                <c:pt idx="33">
                  <c:v>133980</c:v>
                </c:pt>
                <c:pt idx="34">
                  <c:v>213030</c:v>
                </c:pt>
                <c:pt idx="35">
                  <c:v>96996</c:v>
                </c:pt>
                <c:pt idx="36">
                  <c:v>78505</c:v>
                </c:pt>
                <c:pt idx="37">
                  <c:v>348648</c:v>
                </c:pt>
                <c:pt idx="38">
                  <c:v>13098</c:v>
                </c:pt>
                <c:pt idx="39">
                  <c:v>102956</c:v>
                </c:pt>
                <c:pt idx="40">
                  <c:v>112000</c:v>
                </c:pt>
                <c:pt idx="41">
                  <c:v>135248</c:v>
                </c:pt>
                <c:pt idx="42">
                  <c:v>192474</c:v>
                </c:pt>
                <c:pt idx="43">
                  <c:v>125209</c:v>
                </c:pt>
                <c:pt idx="44">
                  <c:v>27770</c:v>
                </c:pt>
                <c:pt idx="45">
                  <c:v>175176</c:v>
                </c:pt>
                <c:pt idx="46">
                  <c:v>174992</c:v>
                </c:pt>
                <c:pt idx="47">
                  <c:v>39846</c:v>
                </c:pt>
                <c:pt idx="48">
                  <c:v>211338</c:v>
                </c:pt>
                <c:pt idx="49">
                  <c:v>25754</c:v>
                </c:pt>
                <c:pt idx="50">
                  <c:v>39708</c:v>
                </c:pt>
                <c:pt idx="51">
                  <c:v>233880</c:v>
                </c:pt>
                <c:pt idx="52">
                  <c:v>93542</c:v>
                </c:pt>
                <c:pt idx="53">
                  <c:v>466460</c:v>
                </c:pt>
                <c:pt idx="54">
                  <c:v>69404</c:v>
                </c:pt>
                <c:pt idx="55">
                  <c:v>5677</c:v>
                </c:pt>
                <c:pt idx="56">
                  <c:v>120087</c:v>
                </c:pt>
                <c:pt idx="57">
                  <c:v>100254</c:v>
                </c:pt>
                <c:pt idx="58">
                  <c:v>379720</c:v>
                </c:pt>
                <c:pt idx="59">
                  <c:v>13524</c:v>
                </c:pt>
                <c:pt idx="60">
                  <c:v>129060</c:v>
                </c:pt>
                <c:pt idx="61">
                  <c:v>60417</c:v>
                </c:pt>
                <c:pt idx="62">
                  <c:v>100540</c:v>
                </c:pt>
                <c:pt idx="63">
                  <c:v>45766</c:v>
                </c:pt>
                <c:pt idx="64">
                  <c:v>126075</c:v>
                </c:pt>
                <c:pt idx="65">
                  <c:v>38321</c:v>
                </c:pt>
                <c:pt idx="66">
                  <c:v>17539</c:v>
                </c:pt>
                <c:pt idx="67">
                  <c:v>4029</c:v>
                </c:pt>
                <c:pt idx="68">
                  <c:v>49922</c:v>
                </c:pt>
                <c:pt idx="69">
                  <c:v>95661</c:v>
                </c:pt>
                <c:pt idx="70">
                  <c:v>41576</c:v>
                </c:pt>
                <c:pt idx="71">
                  <c:v>67632</c:v>
                </c:pt>
                <c:pt idx="72">
                  <c:v>332073</c:v>
                </c:pt>
                <c:pt idx="73">
                  <c:v>52814</c:v>
                </c:pt>
                <c:pt idx="74">
                  <c:v>6228</c:v>
                </c:pt>
                <c:pt idx="75">
                  <c:v>196120</c:v>
                </c:pt>
                <c:pt idx="76">
                  <c:v>150930</c:v>
                </c:pt>
                <c:pt idx="77">
                  <c:v>99792</c:v>
                </c:pt>
                <c:pt idx="78">
                  <c:v>107160</c:v>
                </c:pt>
                <c:pt idx="79">
                  <c:v>292012</c:v>
                </c:pt>
                <c:pt idx="80">
                  <c:v>268668</c:v>
                </c:pt>
                <c:pt idx="81">
                  <c:v>389322</c:v>
                </c:pt>
                <c:pt idx="82">
                  <c:v>212445</c:v>
                </c:pt>
                <c:pt idx="83">
                  <c:v>273010</c:v>
                </c:pt>
                <c:pt idx="84">
                  <c:v>113472</c:v>
                </c:pt>
                <c:pt idx="85">
                  <c:v>167952</c:v>
                </c:pt>
                <c:pt idx="86">
                  <c:v>90080</c:v>
                </c:pt>
                <c:pt idx="87">
                  <c:v>91888</c:v>
                </c:pt>
                <c:pt idx="88">
                  <c:v>271848</c:v>
                </c:pt>
                <c:pt idx="89">
                  <c:v>214776</c:v>
                </c:pt>
                <c:pt idx="90">
                  <c:v>233010</c:v>
                </c:pt>
                <c:pt idx="91">
                  <c:v>211296</c:v>
                </c:pt>
                <c:pt idx="92">
                  <c:v>14263</c:v>
                </c:pt>
                <c:pt idx="93">
                  <c:v>14508</c:v>
                </c:pt>
                <c:pt idx="94">
                  <c:v>52745</c:v>
                </c:pt>
                <c:pt idx="95">
                  <c:v>291600</c:v>
                </c:pt>
                <c:pt idx="96">
                  <c:v>225570</c:v>
                </c:pt>
                <c:pt idx="97">
                  <c:v>25968</c:v>
                </c:pt>
                <c:pt idx="98">
                  <c:v>154497</c:v>
                </c:pt>
                <c:pt idx="99">
                  <c:v>84060</c:v>
                </c:pt>
                <c:pt idx="100">
                  <c:v>39612</c:v>
                </c:pt>
                <c:pt idx="101">
                  <c:v>102050</c:v>
                </c:pt>
                <c:pt idx="102">
                  <c:v>125028</c:v>
                </c:pt>
                <c:pt idx="103">
                  <c:v>320306</c:v>
                </c:pt>
                <c:pt idx="104">
                  <c:v>4071</c:v>
                </c:pt>
                <c:pt idx="105">
                  <c:v>21761</c:v>
                </c:pt>
                <c:pt idx="106">
                  <c:v>111072</c:v>
                </c:pt>
                <c:pt idx="107">
                  <c:v>278411</c:v>
                </c:pt>
                <c:pt idx="108">
                  <c:v>35493</c:v>
                </c:pt>
                <c:pt idx="109">
                  <c:v>65597</c:v>
                </c:pt>
                <c:pt idx="110">
                  <c:v>6350</c:v>
                </c:pt>
                <c:pt idx="111">
                  <c:v>166864</c:v>
                </c:pt>
                <c:pt idx="112">
                  <c:v>173475</c:v>
                </c:pt>
                <c:pt idx="113">
                  <c:v>74544</c:v>
                </c:pt>
                <c:pt idx="114">
                  <c:v>67650</c:v>
                </c:pt>
                <c:pt idx="115">
                  <c:v>177428</c:v>
                </c:pt>
                <c:pt idx="116">
                  <c:v>95378</c:v>
                </c:pt>
                <c:pt idx="117">
                  <c:v>118036</c:v>
                </c:pt>
                <c:pt idx="118">
                  <c:v>9756</c:v>
                </c:pt>
                <c:pt idx="119">
                  <c:v>369970</c:v>
                </c:pt>
                <c:pt idx="120">
                  <c:v>306048</c:v>
                </c:pt>
                <c:pt idx="121">
                  <c:v>26602</c:v>
                </c:pt>
                <c:pt idx="122">
                  <c:v>133048</c:v>
                </c:pt>
                <c:pt idx="123">
                  <c:v>166320</c:v>
                </c:pt>
                <c:pt idx="124">
                  <c:v>95508</c:v>
                </c:pt>
                <c:pt idx="125">
                  <c:v>278190</c:v>
                </c:pt>
                <c:pt idx="126">
                  <c:v>226866</c:v>
                </c:pt>
                <c:pt idx="127">
                  <c:v>43704</c:v>
                </c:pt>
                <c:pt idx="128">
                  <c:v>246526</c:v>
                </c:pt>
                <c:pt idx="129">
                  <c:v>132405</c:v>
                </c:pt>
                <c:pt idx="130">
                  <c:v>17900</c:v>
                </c:pt>
                <c:pt idx="131">
                  <c:v>129784</c:v>
                </c:pt>
                <c:pt idx="132">
                  <c:v>123212</c:v>
                </c:pt>
                <c:pt idx="133">
                  <c:v>56076</c:v>
                </c:pt>
                <c:pt idx="134">
                  <c:v>189882</c:v>
                </c:pt>
                <c:pt idx="135">
                  <c:v>34167</c:v>
                </c:pt>
                <c:pt idx="136">
                  <c:v>156258</c:v>
                </c:pt>
                <c:pt idx="137">
                  <c:v>149740</c:v>
                </c:pt>
                <c:pt idx="138">
                  <c:v>144956</c:v>
                </c:pt>
                <c:pt idx="139">
                  <c:v>492920</c:v>
                </c:pt>
                <c:pt idx="140">
                  <c:v>22773</c:v>
                </c:pt>
                <c:pt idx="141">
                  <c:v>42564</c:v>
                </c:pt>
                <c:pt idx="142">
                  <c:v>245490</c:v>
                </c:pt>
                <c:pt idx="143">
                  <c:v>62160</c:v>
                </c:pt>
                <c:pt idx="144">
                  <c:v>192800</c:v>
                </c:pt>
                <c:pt idx="145">
                  <c:v>54085</c:v>
                </c:pt>
                <c:pt idx="146">
                  <c:v>21980</c:v>
                </c:pt>
                <c:pt idx="147">
                  <c:v>64272</c:v>
                </c:pt>
                <c:pt idx="148">
                  <c:v>112410</c:v>
                </c:pt>
                <c:pt idx="149">
                  <c:v>13796</c:v>
                </c:pt>
                <c:pt idx="150">
                  <c:v>24892</c:v>
                </c:pt>
                <c:pt idx="151">
                  <c:v>121121</c:v>
                </c:pt>
                <c:pt idx="152">
                  <c:v>15192</c:v>
                </c:pt>
                <c:pt idx="153">
                  <c:v>198414</c:v>
                </c:pt>
                <c:pt idx="154">
                  <c:v>138660</c:v>
                </c:pt>
                <c:pt idx="155">
                  <c:v>128148</c:v>
                </c:pt>
                <c:pt idx="156">
                  <c:v>55173</c:v>
                </c:pt>
                <c:pt idx="157">
                  <c:v>74832</c:v>
                </c:pt>
                <c:pt idx="158">
                  <c:v>270347</c:v>
                </c:pt>
                <c:pt idx="159">
                  <c:v>102431</c:v>
                </c:pt>
                <c:pt idx="160">
                  <c:v>25918</c:v>
                </c:pt>
                <c:pt idx="161">
                  <c:v>255024</c:v>
                </c:pt>
                <c:pt idx="162">
                  <c:v>486320</c:v>
                </c:pt>
                <c:pt idx="163">
                  <c:v>81360</c:v>
                </c:pt>
                <c:pt idx="164">
                  <c:v>43890</c:v>
                </c:pt>
                <c:pt idx="165">
                  <c:v>8742</c:v>
                </c:pt>
                <c:pt idx="166">
                  <c:v>9000</c:v>
                </c:pt>
                <c:pt idx="167">
                  <c:v>206376</c:v>
                </c:pt>
                <c:pt idx="168">
                  <c:v>46881</c:v>
                </c:pt>
                <c:pt idx="169">
                  <c:v>176391</c:v>
                </c:pt>
                <c:pt idx="170">
                  <c:v>77105</c:v>
                </c:pt>
                <c:pt idx="171">
                  <c:v>135054</c:v>
                </c:pt>
                <c:pt idx="172">
                  <c:v>309672</c:v>
                </c:pt>
                <c:pt idx="173">
                  <c:v>343660</c:v>
                </c:pt>
                <c:pt idx="174">
                  <c:v>51018</c:v>
                </c:pt>
                <c:pt idx="175">
                  <c:v>177520</c:v>
                </c:pt>
                <c:pt idx="176">
                  <c:v>93738</c:v>
                </c:pt>
                <c:pt idx="177">
                  <c:v>32685</c:v>
                </c:pt>
                <c:pt idx="178">
                  <c:v>38744</c:v>
                </c:pt>
                <c:pt idx="179">
                  <c:v>305883</c:v>
                </c:pt>
                <c:pt idx="180">
                  <c:v>1413</c:v>
                </c:pt>
                <c:pt idx="181">
                  <c:v>146958</c:v>
                </c:pt>
                <c:pt idx="182">
                  <c:v>184989</c:v>
                </c:pt>
                <c:pt idx="183">
                  <c:v>138525</c:v>
                </c:pt>
                <c:pt idx="184">
                  <c:v>1050</c:v>
                </c:pt>
                <c:pt idx="185">
                  <c:v>250038</c:v>
                </c:pt>
                <c:pt idx="186">
                  <c:v>333747</c:v>
                </c:pt>
                <c:pt idx="187">
                  <c:v>125616</c:v>
                </c:pt>
                <c:pt idx="188">
                  <c:v>676</c:v>
                </c:pt>
                <c:pt idx="189">
                  <c:v>94218</c:v>
                </c:pt>
                <c:pt idx="190">
                  <c:v>119931</c:v>
                </c:pt>
                <c:pt idx="191">
                  <c:v>85020</c:v>
                </c:pt>
                <c:pt idx="192">
                  <c:v>314968</c:v>
                </c:pt>
                <c:pt idx="193">
                  <c:v>29158</c:v>
                </c:pt>
                <c:pt idx="194">
                  <c:v>9342</c:v>
                </c:pt>
                <c:pt idx="195">
                  <c:v>265110</c:v>
                </c:pt>
                <c:pt idx="196">
                  <c:v>356008</c:v>
                </c:pt>
                <c:pt idx="197">
                  <c:v>58640</c:v>
                </c:pt>
                <c:pt idx="198">
                  <c:v>109620</c:v>
                </c:pt>
                <c:pt idx="199">
                  <c:v>307202</c:v>
                </c:pt>
              </c:numCache>
            </c:numRef>
          </c:yVal>
          <c:smooth val="0"/>
          <c:extLst>
            <c:ext xmlns:c16="http://schemas.microsoft.com/office/drawing/2014/chart" uri="{C3380CC4-5D6E-409C-BE32-E72D297353CC}">
              <c16:uniqueId val="{00000000-E0FC-4B0A-9141-33BD913071DC}"/>
            </c:ext>
          </c:extLst>
        </c:ser>
        <c:dLbls>
          <c:showLegendKey val="0"/>
          <c:showVal val="0"/>
          <c:showCatName val="0"/>
          <c:showSerName val="0"/>
          <c:showPercent val="0"/>
          <c:showBubbleSize val="0"/>
        </c:dLbls>
        <c:axId val="289866255"/>
        <c:axId val="289861455"/>
      </c:scatterChart>
      <c:valAx>
        <c:axId val="289866255"/>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89861455"/>
        <c:crosses val="autoZero"/>
        <c:crossBetween val="midCat"/>
      </c:valAx>
      <c:valAx>
        <c:axId val="289861455"/>
        <c:scaling>
          <c:orientation val="minMax"/>
        </c:scaling>
        <c:delete val="0"/>
        <c:axPos val="l"/>
        <c:numFmt formatCode="&quot;₹&quot;#,##0.00,&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8986625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chart" Target="../charts/chart12.xml"/><Relationship Id="rId7" Type="http://schemas.openxmlformats.org/officeDocument/2006/relationships/image" Target="../media/image10.sv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9.png"/><Relationship Id="rId11" Type="http://schemas.openxmlformats.org/officeDocument/2006/relationships/image" Target="../media/image14.svg"/><Relationship Id="rId5" Type="http://schemas.openxmlformats.org/officeDocument/2006/relationships/image" Target="../media/image8.sv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svg"/></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6</xdr:col>
      <xdr:colOff>182880</xdr:colOff>
      <xdr:row>0</xdr:row>
      <xdr:rowOff>167641</xdr:rowOff>
    </xdr:from>
    <xdr:to>
      <xdr:col>8</xdr:col>
      <xdr:colOff>754380</xdr:colOff>
      <xdr:row>8</xdr:row>
      <xdr:rowOff>152401</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D0EF09C2-FC6F-FBA5-3325-F3545EC0CE2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754880" y="16764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xdr:colOff>
      <xdr:row>0</xdr:row>
      <xdr:rowOff>152401</xdr:rowOff>
    </xdr:from>
    <xdr:to>
      <xdr:col>14</xdr:col>
      <xdr:colOff>403860</xdr:colOff>
      <xdr:row>5</xdr:row>
      <xdr:rowOff>144781</xdr:rowOff>
    </xdr:to>
    <mc:AlternateContent xmlns:mc="http://schemas.openxmlformats.org/markup-compatibility/2006" xmlns:a14="http://schemas.microsoft.com/office/drawing/2010/main">
      <mc:Choice Requires="a14">
        <xdr:graphicFrame macro="">
          <xdr:nvGraphicFramePr>
            <xdr:cNvPr id="3" name="Customer Type">
              <a:extLst>
                <a:ext uri="{FF2B5EF4-FFF2-40B4-BE49-F238E27FC236}">
                  <a16:creationId xmlns:a16="http://schemas.microsoft.com/office/drawing/2014/main" id="{5D7D621E-CB61-9FED-95BD-D1A9A9D2AC82}"/>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6766560" y="152401"/>
              <a:ext cx="182880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426720</xdr:colOff>
      <xdr:row>0</xdr:row>
      <xdr:rowOff>167640</xdr:rowOff>
    </xdr:from>
    <xdr:to>
      <xdr:col>18</xdr:col>
      <xdr:colOff>335280</xdr:colOff>
      <xdr:row>14</xdr:row>
      <xdr:rowOff>51435</xdr:rowOff>
    </xdr:to>
    <mc:AlternateContent xmlns:mc="http://schemas.openxmlformats.org/markup-compatibility/2006" xmlns:a14="http://schemas.microsoft.com/office/drawing/2010/main">
      <mc:Choice Requires="a14">
        <xdr:graphicFrame macro="">
          <xdr:nvGraphicFramePr>
            <xdr:cNvPr id="4" name="Salesperson">
              <a:extLst>
                <a:ext uri="{FF2B5EF4-FFF2-40B4-BE49-F238E27FC236}">
                  <a16:creationId xmlns:a16="http://schemas.microsoft.com/office/drawing/2014/main" id="{F19C6B40-E5ED-A673-CBF6-D348C2EFDCDE}"/>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8983980" y="16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464820</xdr:colOff>
      <xdr:row>12</xdr:row>
      <xdr:rowOff>3810</xdr:rowOff>
    </xdr:from>
    <xdr:to>
      <xdr:col>8</xdr:col>
      <xdr:colOff>45720</xdr:colOff>
      <xdr:row>27</xdr:row>
      <xdr:rowOff>3810</xdr:rowOff>
    </xdr:to>
    <xdr:graphicFrame macro="">
      <xdr:nvGraphicFramePr>
        <xdr:cNvPr id="5" name="Chart 4">
          <a:extLst>
            <a:ext uri="{FF2B5EF4-FFF2-40B4-BE49-F238E27FC236}">
              <a16:creationId xmlns:a16="http://schemas.microsoft.com/office/drawing/2014/main" id="{8261609C-5DA6-3094-B4C2-00E77D4EA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243840</xdr:colOff>
      <xdr:row>41</xdr:row>
      <xdr:rowOff>110490</xdr:rowOff>
    </xdr:from>
    <xdr:to>
      <xdr:col>18</xdr:col>
      <xdr:colOff>342900</xdr:colOff>
      <xdr:row>56</xdr:row>
      <xdr:rowOff>110490</xdr:rowOff>
    </xdr:to>
    <xdr:graphicFrame macro="">
      <xdr:nvGraphicFramePr>
        <xdr:cNvPr id="7" name="Chart 6">
          <a:extLst>
            <a:ext uri="{FF2B5EF4-FFF2-40B4-BE49-F238E27FC236}">
              <a16:creationId xmlns:a16="http://schemas.microsoft.com/office/drawing/2014/main" id="{878D4200-1665-FD77-B003-0684961A9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480060</xdr:colOff>
      <xdr:row>17</xdr:row>
      <xdr:rowOff>26670</xdr:rowOff>
    </xdr:from>
    <xdr:to>
      <xdr:col>8</xdr:col>
      <xdr:colOff>495300</xdr:colOff>
      <xdr:row>32</xdr:row>
      <xdr:rowOff>26670</xdr:rowOff>
    </xdr:to>
    <xdr:graphicFrame macro="">
      <xdr:nvGraphicFramePr>
        <xdr:cNvPr id="2" name="Chart 1">
          <a:extLst>
            <a:ext uri="{FF2B5EF4-FFF2-40B4-BE49-F238E27FC236}">
              <a16:creationId xmlns:a16="http://schemas.microsoft.com/office/drawing/2014/main" id="{CF44F250-BF9F-C0C6-9048-1C6AFEB5F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533400</xdr:colOff>
      <xdr:row>49</xdr:row>
      <xdr:rowOff>22860</xdr:rowOff>
    </xdr:from>
    <xdr:to>
      <xdr:col>9</xdr:col>
      <xdr:colOff>30480</xdr:colOff>
      <xdr:row>64</xdr:row>
      <xdr:rowOff>22860</xdr:rowOff>
    </xdr:to>
    <xdr:graphicFrame macro="">
      <xdr:nvGraphicFramePr>
        <xdr:cNvPr id="3" name="Chart 2">
          <a:extLst>
            <a:ext uri="{FF2B5EF4-FFF2-40B4-BE49-F238E27FC236}">
              <a16:creationId xmlns:a16="http://schemas.microsoft.com/office/drawing/2014/main" id="{D5AB4319-D36E-3A0C-E0B0-056F0E54B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251283</xdr:colOff>
      <xdr:row>1</xdr:row>
      <xdr:rowOff>128121</xdr:rowOff>
    </xdr:from>
    <xdr:to>
      <xdr:col>20</xdr:col>
      <xdr:colOff>167463</xdr:colOff>
      <xdr:row>28</xdr:row>
      <xdr:rowOff>135742</xdr:rowOff>
    </xdr:to>
    <xdr:sp macro="" textlink="">
      <xdr:nvSpPr>
        <xdr:cNvPr id="2" name="Rectangle: Rounded Corners 1">
          <a:extLst>
            <a:ext uri="{FF2B5EF4-FFF2-40B4-BE49-F238E27FC236}">
              <a16:creationId xmlns:a16="http://schemas.microsoft.com/office/drawing/2014/main" id="{DB8948CB-0111-0CEF-D70D-75A6FAAAAA8E}"/>
            </a:ext>
          </a:extLst>
        </xdr:cNvPr>
        <xdr:cNvSpPr/>
      </xdr:nvSpPr>
      <xdr:spPr>
        <a:xfrm>
          <a:off x="2085399" y="314191"/>
          <a:ext cx="10309506" cy="5031504"/>
        </a:xfrm>
        <a:prstGeom prst="roundRect">
          <a:avLst>
            <a:gd name="adj" fmla="val 6805"/>
          </a:avLst>
        </a:prstGeom>
        <a:solidFill>
          <a:schemeClr val="bg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425303</xdr:colOff>
      <xdr:row>5</xdr:row>
      <xdr:rowOff>40757</xdr:rowOff>
    </xdr:from>
    <xdr:to>
      <xdr:col>8</xdr:col>
      <xdr:colOff>345559</xdr:colOff>
      <xdr:row>11</xdr:row>
      <xdr:rowOff>40758</xdr:rowOff>
    </xdr:to>
    <xdr:sp macro="" textlink="">
      <xdr:nvSpPr>
        <xdr:cNvPr id="3" name="Rectangle: Rounded Corners 2">
          <a:extLst>
            <a:ext uri="{FF2B5EF4-FFF2-40B4-BE49-F238E27FC236}">
              <a16:creationId xmlns:a16="http://schemas.microsoft.com/office/drawing/2014/main" id="{740C2E1F-EBC8-4477-0323-B3AB7E3C8503}"/>
            </a:ext>
          </a:extLst>
        </xdr:cNvPr>
        <xdr:cNvSpPr/>
      </xdr:nvSpPr>
      <xdr:spPr>
        <a:xfrm>
          <a:off x="2259419" y="971106"/>
          <a:ext cx="2977117" cy="1116419"/>
        </a:xfrm>
        <a:prstGeom prst="roundRect">
          <a:avLst/>
        </a:prstGeom>
        <a:solidFill>
          <a:srgbClr val="7F8C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451885</xdr:colOff>
      <xdr:row>5</xdr:row>
      <xdr:rowOff>40758</xdr:rowOff>
    </xdr:from>
    <xdr:to>
      <xdr:col>14</xdr:col>
      <xdr:colOff>186072</xdr:colOff>
      <xdr:row>11</xdr:row>
      <xdr:rowOff>40759</xdr:rowOff>
    </xdr:to>
    <xdr:sp macro="" textlink="">
      <xdr:nvSpPr>
        <xdr:cNvPr id="6" name="Rectangle: Rounded Corners 5">
          <a:extLst>
            <a:ext uri="{FF2B5EF4-FFF2-40B4-BE49-F238E27FC236}">
              <a16:creationId xmlns:a16="http://schemas.microsoft.com/office/drawing/2014/main" id="{223747E7-5DE5-4217-AA9E-B25E4E9F04A0}"/>
            </a:ext>
          </a:extLst>
        </xdr:cNvPr>
        <xdr:cNvSpPr/>
      </xdr:nvSpPr>
      <xdr:spPr>
        <a:xfrm>
          <a:off x="5342862" y="971107"/>
          <a:ext cx="3402419" cy="1116419"/>
        </a:xfrm>
        <a:prstGeom prst="roundRect">
          <a:avLst/>
        </a:prstGeom>
        <a:solidFill>
          <a:srgbClr val="7F8C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303028</xdr:colOff>
      <xdr:row>5</xdr:row>
      <xdr:rowOff>40757</xdr:rowOff>
    </xdr:from>
    <xdr:to>
      <xdr:col>20</xdr:col>
      <xdr:colOff>37214</xdr:colOff>
      <xdr:row>11</xdr:row>
      <xdr:rowOff>40758</xdr:rowOff>
    </xdr:to>
    <xdr:sp macro="" textlink="">
      <xdr:nvSpPr>
        <xdr:cNvPr id="7" name="Rectangle: Rounded Corners 6">
          <a:extLst>
            <a:ext uri="{FF2B5EF4-FFF2-40B4-BE49-F238E27FC236}">
              <a16:creationId xmlns:a16="http://schemas.microsoft.com/office/drawing/2014/main" id="{D08E4C11-8299-4D23-A976-60ED73CAFB58}"/>
            </a:ext>
          </a:extLst>
        </xdr:cNvPr>
        <xdr:cNvSpPr/>
      </xdr:nvSpPr>
      <xdr:spPr>
        <a:xfrm>
          <a:off x="8862237" y="971106"/>
          <a:ext cx="3402419" cy="1116419"/>
        </a:xfrm>
        <a:prstGeom prst="roundRect">
          <a:avLst/>
        </a:prstGeom>
        <a:solidFill>
          <a:srgbClr val="7F8C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451883</xdr:colOff>
      <xdr:row>12</xdr:row>
      <xdr:rowOff>0</xdr:rowOff>
    </xdr:from>
    <xdr:to>
      <xdr:col>20</xdr:col>
      <xdr:colOff>26582</xdr:colOff>
      <xdr:row>28</xdr:row>
      <xdr:rowOff>9747</xdr:rowOff>
    </xdr:to>
    <xdr:sp macro="" textlink="">
      <xdr:nvSpPr>
        <xdr:cNvPr id="8" name="Rectangle: Rounded Corners 7">
          <a:extLst>
            <a:ext uri="{FF2B5EF4-FFF2-40B4-BE49-F238E27FC236}">
              <a16:creationId xmlns:a16="http://schemas.microsoft.com/office/drawing/2014/main" id="{17DE65ED-F91B-6F06-F819-B717E29B3946}"/>
            </a:ext>
          </a:extLst>
        </xdr:cNvPr>
        <xdr:cNvSpPr/>
      </xdr:nvSpPr>
      <xdr:spPr>
        <a:xfrm>
          <a:off x="2285999" y="2232837"/>
          <a:ext cx="9968025" cy="2986863"/>
        </a:xfrm>
        <a:prstGeom prst="roundRect">
          <a:avLst>
            <a:gd name="adj" fmla="val 9251"/>
          </a:avLst>
        </a:prstGeom>
        <a:solidFill>
          <a:srgbClr val="ECF0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478465</xdr:colOff>
      <xdr:row>12</xdr:row>
      <xdr:rowOff>124047</xdr:rowOff>
    </xdr:from>
    <xdr:to>
      <xdr:col>11</xdr:col>
      <xdr:colOff>496186</xdr:colOff>
      <xdr:row>27</xdr:row>
      <xdr:rowOff>62023</xdr:rowOff>
    </xdr:to>
    <xdr:cxnSp macro="">
      <xdr:nvCxnSpPr>
        <xdr:cNvPr id="12" name="Straight Connector 11">
          <a:extLst>
            <a:ext uri="{FF2B5EF4-FFF2-40B4-BE49-F238E27FC236}">
              <a16:creationId xmlns:a16="http://schemas.microsoft.com/office/drawing/2014/main" id="{198C6BF5-2187-6A53-15B2-8621389BABA1}"/>
            </a:ext>
          </a:extLst>
        </xdr:cNvPr>
        <xdr:cNvCxnSpPr/>
      </xdr:nvCxnSpPr>
      <xdr:spPr>
        <a:xfrm flipH="1">
          <a:off x="7203558" y="2356884"/>
          <a:ext cx="17721" cy="2729023"/>
        </a:xfrm>
        <a:prstGeom prst="line">
          <a:avLst/>
        </a:prstGeom>
        <a:ln>
          <a:solidFill>
            <a:srgbClr val="7F8C8D"/>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70883</xdr:colOff>
      <xdr:row>13</xdr:row>
      <xdr:rowOff>177209</xdr:rowOff>
    </xdr:from>
    <xdr:to>
      <xdr:col>11</xdr:col>
      <xdr:colOff>271838</xdr:colOff>
      <xdr:row>27</xdr:row>
      <xdr:rowOff>102780</xdr:rowOff>
    </xdr:to>
    <xdr:graphicFrame macro="">
      <xdr:nvGraphicFramePr>
        <xdr:cNvPr id="16" name="Chart 15">
          <a:extLst>
            <a:ext uri="{FF2B5EF4-FFF2-40B4-BE49-F238E27FC236}">
              <a16:creationId xmlns:a16="http://schemas.microsoft.com/office/drawing/2014/main" id="{C9471515-8A63-459F-B081-D53591395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26580</xdr:colOff>
      <xdr:row>13</xdr:row>
      <xdr:rowOff>166576</xdr:rowOff>
    </xdr:from>
    <xdr:to>
      <xdr:col>19</xdr:col>
      <xdr:colOff>443022</xdr:colOff>
      <xdr:row>27</xdr:row>
      <xdr:rowOff>113413</xdr:rowOff>
    </xdr:to>
    <xdr:graphicFrame macro="">
      <xdr:nvGraphicFramePr>
        <xdr:cNvPr id="17" name="Chart 16">
          <a:extLst>
            <a:ext uri="{FF2B5EF4-FFF2-40B4-BE49-F238E27FC236}">
              <a16:creationId xmlns:a16="http://schemas.microsoft.com/office/drawing/2014/main" id="{598E3B63-183A-4A6E-8B2B-B6DE45DD0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531630</xdr:colOff>
      <xdr:row>5</xdr:row>
      <xdr:rowOff>173665</xdr:rowOff>
    </xdr:from>
    <xdr:to>
      <xdr:col>6</xdr:col>
      <xdr:colOff>434163</xdr:colOff>
      <xdr:row>7</xdr:row>
      <xdr:rowOff>138224</xdr:rowOff>
    </xdr:to>
    <xdr:sp macro="" textlink="">
      <xdr:nvSpPr>
        <xdr:cNvPr id="18" name="TextBox 17">
          <a:extLst>
            <a:ext uri="{FF2B5EF4-FFF2-40B4-BE49-F238E27FC236}">
              <a16:creationId xmlns:a16="http://schemas.microsoft.com/office/drawing/2014/main" id="{898DC2B3-8509-3A73-CD59-AD6E4606FAEA}"/>
            </a:ext>
          </a:extLst>
        </xdr:cNvPr>
        <xdr:cNvSpPr txBox="1"/>
      </xdr:nvSpPr>
      <xdr:spPr>
        <a:xfrm>
          <a:off x="2365746" y="1104014"/>
          <a:ext cx="1736650" cy="336698"/>
        </a:xfrm>
        <a:prstGeom prst="rect">
          <a:avLst/>
        </a:prstGeom>
        <a:solidFill>
          <a:srgbClr val="7F8C8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latin typeface="Segoe UI Semibold" panose="020B0702040204020203" pitchFamily="34" charset="0"/>
              <a:ea typeface="Segoe UI Black" panose="020B0A02040204020203" pitchFamily="34" charset="0"/>
              <a:cs typeface="Segoe UI Semibold" panose="020B0702040204020203" pitchFamily="34" charset="0"/>
            </a:rPr>
            <a:t>Total Orders</a:t>
          </a:r>
        </a:p>
      </xdr:txBody>
    </xdr:sp>
    <xdr:clientData/>
  </xdr:twoCellAnchor>
  <xdr:twoCellAnchor>
    <xdr:from>
      <xdr:col>8</xdr:col>
      <xdr:colOff>577700</xdr:colOff>
      <xdr:row>5</xdr:row>
      <xdr:rowOff>173665</xdr:rowOff>
    </xdr:from>
    <xdr:to>
      <xdr:col>12</xdr:col>
      <xdr:colOff>221511</xdr:colOff>
      <xdr:row>7</xdr:row>
      <xdr:rowOff>138224</xdr:rowOff>
    </xdr:to>
    <xdr:sp macro="" textlink="">
      <xdr:nvSpPr>
        <xdr:cNvPr id="19" name="TextBox 18">
          <a:extLst>
            <a:ext uri="{FF2B5EF4-FFF2-40B4-BE49-F238E27FC236}">
              <a16:creationId xmlns:a16="http://schemas.microsoft.com/office/drawing/2014/main" id="{EA0BD7E6-9C4B-4925-A74D-8D8E13DAF293}"/>
            </a:ext>
          </a:extLst>
        </xdr:cNvPr>
        <xdr:cNvSpPr txBox="1"/>
      </xdr:nvSpPr>
      <xdr:spPr>
        <a:xfrm>
          <a:off x="5468677" y="1104014"/>
          <a:ext cx="2089299" cy="336698"/>
        </a:xfrm>
        <a:prstGeom prst="rect">
          <a:avLst/>
        </a:prstGeom>
        <a:solidFill>
          <a:srgbClr val="7F8C8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Average Orders</a:t>
          </a:r>
        </a:p>
      </xdr:txBody>
    </xdr:sp>
    <xdr:clientData/>
  </xdr:twoCellAnchor>
  <xdr:twoCellAnchor>
    <xdr:from>
      <xdr:col>14</xdr:col>
      <xdr:colOff>393403</xdr:colOff>
      <xdr:row>5</xdr:row>
      <xdr:rowOff>173665</xdr:rowOff>
    </xdr:from>
    <xdr:to>
      <xdr:col>18</xdr:col>
      <xdr:colOff>434163</xdr:colOff>
      <xdr:row>7</xdr:row>
      <xdr:rowOff>138224</xdr:rowOff>
    </xdr:to>
    <xdr:sp macro="" textlink="">
      <xdr:nvSpPr>
        <xdr:cNvPr id="20" name="TextBox 19">
          <a:extLst>
            <a:ext uri="{FF2B5EF4-FFF2-40B4-BE49-F238E27FC236}">
              <a16:creationId xmlns:a16="http://schemas.microsoft.com/office/drawing/2014/main" id="{4791D176-A0BE-4762-9845-7EE262141719}"/>
            </a:ext>
          </a:extLst>
        </xdr:cNvPr>
        <xdr:cNvSpPr txBox="1"/>
      </xdr:nvSpPr>
      <xdr:spPr>
        <a:xfrm>
          <a:off x="8952612" y="1104014"/>
          <a:ext cx="2486249" cy="336698"/>
        </a:xfrm>
        <a:prstGeom prst="rect">
          <a:avLst/>
        </a:prstGeom>
        <a:solidFill>
          <a:srgbClr val="7F8C8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Higest Sales Person</a:t>
          </a:r>
        </a:p>
      </xdr:txBody>
    </xdr:sp>
    <xdr:clientData/>
  </xdr:twoCellAnchor>
  <xdr:twoCellAnchor>
    <xdr:from>
      <xdr:col>4</xdr:col>
      <xdr:colOff>345558</xdr:colOff>
      <xdr:row>7</xdr:row>
      <xdr:rowOff>148855</xdr:rowOff>
    </xdr:from>
    <xdr:to>
      <xdr:col>6</xdr:col>
      <xdr:colOff>186069</xdr:colOff>
      <xdr:row>10</xdr:row>
      <xdr:rowOff>104552</xdr:rowOff>
    </xdr:to>
    <xdr:sp macro="" textlink="Pivot_Table_2!$A$43">
      <xdr:nvSpPr>
        <xdr:cNvPr id="21" name="TextBox 20">
          <a:extLst>
            <a:ext uri="{FF2B5EF4-FFF2-40B4-BE49-F238E27FC236}">
              <a16:creationId xmlns:a16="http://schemas.microsoft.com/office/drawing/2014/main" id="{2FC39500-4F88-0486-6EE1-187D4902749E}"/>
            </a:ext>
          </a:extLst>
        </xdr:cNvPr>
        <xdr:cNvSpPr txBox="1"/>
      </xdr:nvSpPr>
      <xdr:spPr>
        <a:xfrm>
          <a:off x="2791046" y="1451343"/>
          <a:ext cx="1063256" cy="513907"/>
        </a:xfrm>
        <a:prstGeom prst="rect">
          <a:avLst/>
        </a:prstGeom>
        <a:solidFill>
          <a:srgbClr val="7F8C8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186E3F-D076-4E16-8898-4A2D3871092A}" type="TxLink">
            <a:rPr lang="en-US" sz="2800" b="1" i="0" u="none" strike="noStrike">
              <a:solidFill>
                <a:srgbClr val="000000"/>
              </a:solidFill>
              <a:latin typeface="Segoe UI Semibold" panose="020B0702040204020203" pitchFamily="34" charset="0"/>
              <a:ea typeface="Calibri"/>
              <a:cs typeface="Segoe UI Semibold" panose="020B0702040204020203" pitchFamily="34" charset="0"/>
            </a:rPr>
            <a:pPr algn="ctr"/>
            <a:t>200</a:t>
          </a:fld>
          <a:endParaRPr lang="en-IN" sz="4400" b="1">
            <a:latin typeface="Segoe UI Semibold" panose="020B0702040204020203" pitchFamily="34" charset="0"/>
            <a:cs typeface="Segoe UI Semibold" panose="020B0702040204020203" pitchFamily="34" charset="0"/>
          </a:endParaRPr>
        </a:p>
      </xdr:txBody>
    </xdr:sp>
    <xdr:clientData/>
  </xdr:twoCellAnchor>
  <xdr:twoCellAnchor editAs="oneCell">
    <xdr:from>
      <xdr:col>6</xdr:col>
      <xdr:colOff>558209</xdr:colOff>
      <xdr:row>5</xdr:row>
      <xdr:rowOff>141766</xdr:rowOff>
    </xdr:from>
    <xdr:to>
      <xdr:col>8</xdr:col>
      <xdr:colOff>249865</xdr:colOff>
      <xdr:row>10</xdr:row>
      <xdr:rowOff>125817</xdr:rowOff>
    </xdr:to>
    <xdr:pic>
      <xdr:nvPicPr>
        <xdr:cNvPr id="23" name="Graphic 22" descr="Bar graph with upward trend with solid fill">
          <a:extLst>
            <a:ext uri="{FF2B5EF4-FFF2-40B4-BE49-F238E27FC236}">
              <a16:creationId xmlns:a16="http://schemas.microsoft.com/office/drawing/2014/main" id="{C36148CE-4D44-681C-B96D-CEA5B86168C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26442" y="1072115"/>
          <a:ext cx="914400" cy="914400"/>
        </a:xfrm>
        <a:prstGeom prst="rect">
          <a:avLst/>
        </a:prstGeom>
      </xdr:spPr>
    </xdr:pic>
    <xdr:clientData/>
  </xdr:twoCellAnchor>
  <xdr:twoCellAnchor>
    <xdr:from>
      <xdr:col>9</xdr:col>
      <xdr:colOff>203789</xdr:colOff>
      <xdr:row>7</xdr:row>
      <xdr:rowOff>148855</xdr:rowOff>
    </xdr:from>
    <xdr:to>
      <xdr:col>12</xdr:col>
      <xdr:colOff>8860</xdr:colOff>
      <xdr:row>10</xdr:row>
      <xdr:rowOff>104552</xdr:rowOff>
    </xdr:to>
    <xdr:sp macro="" textlink="Pivot_Table_2!$A$47">
      <xdr:nvSpPr>
        <xdr:cNvPr id="24" name="TextBox 23">
          <a:extLst>
            <a:ext uri="{FF2B5EF4-FFF2-40B4-BE49-F238E27FC236}">
              <a16:creationId xmlns:a16="http://schemas.microsoft.com/office/drawing/2014/main" id="{DC2C8556-1FC2-4E34-A156-5DF1AE04FEF8}"/>
            </a:ext>
          </a:extLst>
        </xdr:cNvPr>
        <xdr:cNvSpPr txBox="1"/>
      </xdr:nvSpPr>
      <xdr:spPr>
        <a:xfrm>
          <a:off x="5706138" y="1451343"/>
          <a:ext cx="1639187" cy="513907"/>
        </a:xfrm>
        <a:prstGeom prst="rect">
          <a:avLst/>
        </a:prstGeom>
        <a:solidFill>
          <a:srgbClr val="7F8C8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23B0A5-E406-447D-85A5-C3DDBDC03BCA}" type="TxLink">
            <a:rPr lang="en-US" sz="2800" b="0" i="0" u="none" strike="noStrike">
              <a:solidFill>
                <a:srgbClr val="000000"/>
              </a:solidFill>
              <a:latin typeface="Segoe UI Semibold" panose="020B0702040204020203" pitchFamily="34" charset="0"/>
              <a:ea typeface="Calibri"/>
              <a:cs typeface="Segoe UI Semibold" panose="020B0702040204020203" pitchFamily="34" charset="0"/>
            </a:rPr>
            <a:pPr algn="ctr"/>
            <a:t>₹120.02K</a:t>
          </a:fld>
          <a:endParaRPr lang="en-IN" sz="4400" b="1">
            <a:latin typeface="Segoe UI Semibold" panose="020B0702040204020203" pitchFamily="34" charset="0"/>
            <a:cs typeface="Segoe UI Semibold" panose="020B0702040204020203" pitchFamily="34" charset="0"/>
          </a:endParaRPr>
        </a:p>
      </xdr:txBody>
    </xdr:sp>
    <xdr:clientData/>
  </xdr:twoCellAnchor>
  <xdr:twoCellAnchor editAs="oneCell">
    <xdr:from>
      <xdr:col>12</xdr:col>
      <xdr:colOff>460744</xdr:colOff>
      <xdr:row>5</xdr:row>
      <xdr:rowOff>141766</xdr:rowOff>
    </xdr:from>
    <xdr:to>
      <xdr:col>14</xdr:col>
      <xdr:colOff>152400</xdr:colOff>
      <xdr:row>10</xdr:row>
      <xdr:rowOff>125817</xdr:rowOff>
    </xdr:to>
    <xdr:pic>
      <xdr:nvPicPr>
        <xdr:cNvPr id="27" name="Graphic 26" descr="Presentation with bar chart with solid fill">
          <a:extLst>
            <a:ext uri="{FF2B5EF4-FFF2-40B4-BE49-F238E27FC236}">
              <a16:creationId xmlns:a16="http://schemas.microsoft.com/office/drawing/2014/main" id="{065DD8B1-E368-3AE0-2DEA-59092C4F6C9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97209" y="1072115"/>
          <a:ext cx="914400" cy="914400"/>
        </a:xfrm>
        <a:prstGeom prst="rect">
          <a:avLst/>
        </a:prstGeom>
      </xdr:spPr>
    </xdr:pic>
    <xdr:clientData/>
  </xdr:twoCellAnchor>
  <xdr:twoCellAnchor editAs="oneCell">
    <xdr:from>
      <xdr:col>18</xdr:col>
      <xdr:colOff>354418</xdr:colOff>
      <xdr:row>5</xdr:row>
      <xdr:rowOff>141768</xdr:rowOff>
    </xdr:from>
    <xdr:to>
      <xdr:col>20</xdr:col>
      <xdr:colOff>46074</xdr:colOff>
      <xdr:row>10</xdr:row>
      <xdr:rowOff>125819</xdr:rowOff>
    </xdr:to>
    <xdr:pic>
      <xdr:nvPicPr>
        <xdr:cNvPr id="29" name="Graphic 28" descr="Podium with solid fill">
          <a:extLst>
            <a:ext uri="{FF2B5EF4-FFF2-40B4-BE49-F238E27FC236}">
              <a16:creationId xmlns:a16="http://schemas.microsoft.com/office/drawing/2014/main" id="{C6676CEB-D09E-50CE-FC6C-EEDCBBA10A8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359116" y="1072117"/>
          <a:ext cx="914400" cy="914400"/>
        </a:xfrm>
        <a:prstGeom prst="rect">
          <a:avLst/>
        </a:prstGeom>
      </xdr:spPr>
    </xdr:pic>
    <xdr:clientData/>
  </xdr:twoCellAnchor>
  <xdr:twoCellAnchor>
    <xdr:from>
      <xdr:col>16</xdr:col>
      <xdr:colOff>301255</xdr:colOff>
      <xdr:row>8</xdr:row>
      <xdr:rowOff>30125</xdr:rowOff>
    </xdr:from>
    <xdr:to>
      <xdr:col>18</xdr:col>
      <xdr:colOff>214421</xdr:colOff>
      <xdr:row>10</xdr:row>
      <xdr:rowOff>37211</xdr:rowOff>
    </xdr:to>
    <xdr:sp macro="" textlink="Pivot_Table_2!$B$37">
      <xdr:nvSpPr>
        <xdr:cNvPr id="31" name="TextBox 30">
          <a:extLst>
            <a:ext uri="{FF2B5EF4-FFF2-40B4-BE49-F238E27FC236}">
              <a16:creationId xmlns:a16="http://schemas.microsoft.com/office/drawing/2014/main" id="{57B9742D-9FE9-49E2-B1E5-6C22B8FBB1C9}"/>
            </a:ext>
          </a:extLst>
        </xdr:cNvPr>
        <xdr:cNvSpPr txBox="1"/>
      </xdr:nvSpPr>
      <xdr:spPr>
        <a:xfrm>
          <a:off x="10083208" y="1518683"/>
          <a:ext cx="1135911" cy="379226"/>
        </a:xfrm>
        <a:prstGeom prst="rect">
          <a:avLst/>
        </a:prstGeom>
        <a:solidFill>
          <a:srgbClr val="7F8C8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926B08-B840-48FE-98DA-C511876ECE4F}" type="TxLink">
            <a:rPr lang="en-US" sz="2000" b="0" i="0" u="none" strike="noStrike">
              <a:solidFill>
                <a:srgbClr val="000000"/>
              </a:solidFill>
              <a:latin typeface="Segoe UI Semibold" panose="020B0702040204020203" pitchFamily="34" charset="0"/>
              <a:ea typeface="Calibri"/>
              <a:cs typeface="Segoe UI Semibold" panose="020B0702040204020203" pitchFamily="34" charset="0"/>
            </a:rPr>
            <a:pPr algn="ctr"/>
            <a:t>₹4.15M</a:t>
          </a:fld>
          <a:endParaRPr lang="en-IN" sz="5400" b="1">
            <a:latin typeface="Segoe UI Semibold" panose="020B0702040204020203" pitchFamily="34" charset="0"/>
            <a:cs typeface="Segoe UI Semibold" panose="020B0702040204020203" pitchFamily="34" charset="0"/>
          </a:endParaRPr>
        </a:p>
      </xdr:txBody>
    </xdr:sp>
    <xdr:clientData/>
  </xdr:twoCellAnchor>
  <xdr:twoCellAnchor>
    <xdr:from>
      <xdr:col>14</xdr:col>
      <xdr:colOff>469604</xdr:colOff>
      <xdr:row>8</xdr:row>
      <xdr:rowOff>77971</xdr:rowOff>
    </xdr:from>
    <xdr:to>
      <xdr:col>16</xdr:col>
      <xdr:colOff>407581</xdr:colOff>
      <xdr:row>9</xdr:row>
      <xdr:rowOff>175436</xdr:rowOff>
    </xdr:to>
    <xdr:sp macro="" textlink="Pivot_Table_2!$A$37">
      <xdr:nvSpPr>
        <xdr:cNvPr id="32" name="TextBox 31">
          <a:extLst>
            <a:ext uri="{FF2B5EF4-FFF2-40B4-BE49-F238E27FC236}">
              <a16:creationId xmlns:a16="http://schemas.microsoft.com/office/drawing/2014/main" id="{40CDE21E-8DD6-6F03-2117-910C5DE03F40}"/>
            </a:ext>
          </a:extLst>
        </xdr:cNvPr>
        <xdr:cNvSpPr txBox="1"/>
      </xdr:nvSpPr>
      <xdr:spPr>
        <a:xfrm>
          <a:off x="9028813" y="1566529"/>
          <a:ext cx="1160721" cy="283535"/>
        </a:xfrm>
        <a:prstGeom prst="rect">
          <a:avLst/>
        </a:prstGeom>
        <a:solidFill>
          <a:srgbClr val="7F8C8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F50FDE9-EBA2-4A83-A8A0-18167C43F92E}" type="TxLink">
            <a:rPr lang="en-US" sz="2400" b="0" i="0" u="none" strike="noStrike">
              <a:solidFill>
                <a:srgbClr val="000000"/>
              </a:solidFill>
              <a:latin typeface="Segoe UI Semibold" panose="020B0702040204020203" pitchFamily="34" charset="0"/>
              <a:ea typeface="Calibri"/>
              <a:cs typeface="Segoe UI Semibold" panose="020B0702040204020203" pitchFamily="34" charset="0"/>
            </a:rPr>
            <a:pPr algn="l"/>
            <a:t>Vikram</a:t>
          </a:fld>
          <a:endParaRPr lang="en-IN" sz="2400">
            <a:latin typeface="Segoe UI Semibold" panose="020B0702040204020203" pitchFamily="34" charset="0"/>
            <a:cs typeface="Segoe UI Semibold" panose="020B0702040204020203" pitchFamily="34" charset="0"/>
          </a:endParaRPr>
        </a:p>
      </xdr:txBody>
    </xdr:sp>
    <xdr:clientData/>
  </xdr:twoCellAnchor>
  <xdr:twoCellAnchor>
    <xdr:from>
      <xdr:col>4</xdr:col>
      <xdr:colOff>407582</xdr:colOff>
      <xdr:row>12</xdr:row>
      <xdr:rowOff>93921</xdr:rowOff>
    </xdr:from>
    <xdr:to>
      <xdr:col>10</xdr:col>
      <xdr:colOff>602512</xdr:colOff>
      <xdr:row>14</xdr:row>
      <xdr:rowOff>5316</xdr:rowOff>
    </xdr:to>
    <xdr:sp macro="" textlink="">
      <xdr:nvSpPr>
        <xdr:cNvPr id="33" name="TextBox 32">
          <a:extLst>
            <a:ext uri="{FF2B5EF4-FFF2-40B4-BE49-F238E27FC236}">
              <a16:creationId xmlns:a16="http://schemas.microsoft.com/office/drawing/2014/main" id="{09DF8754-55EF-9EB3-7D58-957CE371E557}"/>
            </a:ext>
          </a:extLst>
        </xdr:cNvPr>
        <xdr:cNvSpPr txBox="1"/>
      </xdr:nvSpPr>
      <xdr:spPr>
        <a:xfrm>
          <a:off x="2853070" y="2326758"/>
          <a:ext cx="3863163" cy="283535"/>
        </a:xfrm>
        <a:prstGeom prst="rect">
          <a:avLst/>
        </a:prstGeom>
        <a:solidFill>
          <a:srgbClr val="ECF0F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Segoe UI Semibold" panose="020B0702040204020203" pitchFamily="34" charset="0"/>
              <a:cs typeface="Segoe UI Semibold" panose="020B0702040204020203" pitchFamily="34" charset="0"/>
            </a:rPr>
            <a:t>Sales By SalesPerson</a:t>
          </a:r>
        </a:p>
      </xdr:txBody>
    </xdr:sp>
    <xdr:clientData/>
  </xdr:twoCellAnchor>
  <xdr:twoCellAnchor>
    <xdr:from>
      <xdr:col>12</xdr:col>
      <xdr:colOff>453657</xdr:colOff>
      <xdr:row>12</xdr:row>
      <xdr:rowOff>93921</xdr:rowOff>
    </xdr:from>
    <xdr:to>
      <xdr:col>19</xdr:col>
      <xdr:colOff>37215</xdr:colOff>
      <xdr:row>14</xdr:row>
      <xdr:rowOff>5316</xdr:rowOff>
    </xdr:to>
    <xdr:sp macro="" textlink="">
      <xdr:nvSpPr>
        <xdr:cNvPr id="35" name="TextBox 34">
          <a:extLst>
            <a:ext uri="{FF2B5EF4-FFF2-40B4-BE49-F238E27FC236}">
              <a16:creationId xmlns:a16="http://schemas.microsoft.com/office/drawing/2014/main" id="{99A79DE4-8305-4170-82EF-15B11C94DF9E}"/>
            </a:ext>
          </a:extLst>
        </xdr:cNvPr>
        <xdr:cNvSpPr txBox="1"/>
      </xdr:nvSpPr>
      <xdr:spPr>
        <a:xfrm>
          <a:off x="7790122" y="2326758"/>
          <a:ext cx="3863163" cy="283535"/>
        </a:xfrm>
        <a:prstGeom prst="rect">
          <a:avLst/>
        </a:prstGeom>
        <a:solidFill>
          <a:srgbClr val="ECF0F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Segoe UI Semibold" panose="020B0702040204020203" pitchFamily="34" charset="0"/>
              <a:cs typeface="Segoe UI Semibold" panose="020B0702040204020203" pitchFamily="34" charset="0"/>
            </a:rPr>
            <a:t>Quantity</a:t>
          </a:r>
          <a:r>
            <a:rPr lang="en-IN" sz="1600" baseline="0">
              <a:latin typeface="Segoe UI Semibold" panose="020B0702040204020203" pitchFamily="34" charset="0"/>
              <a:cs typeface="Segoe UI Semibold" panose="020B0702040204020203" pitchFamily="34" charset="0"/>
            </a:rPr>
            <a:t> Sold By SalesPerson</a:t>
          </a: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3</xdr:col>
      <xdr:colOff>602512</xdr:colOff>
      <xdr:row>1</xdr:row>
      <xdr:rowOff>168349</xdr:rowOff>
    </xdr:from>
    <xdr:to>
      <xdr:col>19</xdr:col>
      <xdr:colOff>567069</xdr:colOff>
      <xdr:row>4</xdr:row>
      <xdr:rowOff>35442</xdr:rowOff>
    </xdr:to>
    <xdr:sp macro="" textlink="">
      <xdr:nvSpPr>
        <xdr:cNvPr id="36" name="TextBox 35">
          <a:extLst>
            <a:ext uri="{FF2B5EF4-FFF2-40B4-BE49-F238E27FC236}">
              <a16:creationId xmlns:a16="http://schemas.microsoft.com/office/drawing/2014/main" id="{2817BEFD-D272-92BE-BAE8-8FBD4B801464}"/>
            </a:ext>
          </a:extLst>
        </xdr:cNvPr>
        <xdr:cNvSpPr txBox="1"/>
      </xdr:nvSpPr>
      <xdr:spPr>
        <a:xfrm>
          <a:off x="2436628" y="354419"/>
          <a:ext cx="9746511" cy="425302"/>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latin typeface="Segoe UI Semibold" panose="020B0702040204020203" pitchFamily="34" charset="0"/>
              <a:ea typeface="Segoe UI Black" panose="020B0A02040204020203" pitchFamily="34" charset="0"/>
              <a:cs typeface="Segoe UI Semibold" panose="020B0702040204020203" pitchFamily="34" charset="0"/>
            </a:rPr>
            <a:t>DASHBOARD</a:t>
          </a:r>
          <a:r>
            <a:rPr lang="en-IN" sz="2000" baseline="0">
              <a:latin typeface="Segoe UI Semibold" panose="020B0702040204020203" pitchFamily="34" charset="0"/>
              <a:ea typeface="Segoe UI Black" panose="020B0A02040204020203" pitchFamily="34" charset="0"/>
              <a:cs typeface="Segoe UI Semibold" panose="020B0702040204020203" pitchFamily="34" charset="0"/>
            </a:rPr>
            <a:t> TO ANALYSE SALESPERSON PERFORMANCE</a:t>
          </a:r>
          <a:endParaRPr lang="en-IN" sz="20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419100</xdr:colOff>
      <xdr:row>2</xdr:row>
      <xdr:rowOff>60961</xdr:rowOff>
    </xdr:from>
    <xdr:to>
      <xdr:col>8</xdr:col>
      <xdr:colOff>419100</xdr:colOff>
      <xdr:row>9</xdr:row>
      <xdr:rowOff>121921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BAE5047A-8EA5-BE7D-9BCD-BBC86CB6C3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38700" y="441961"/>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525780</xdr:colOff>
      <xdr:row>2</xdr:row>
      <xdr:rowOff>53341</xdr:rowOff>
    </xdr:from>
    <xdr:to>
      <xdr:col>11</xdr:col>
      <xdr:colOff>525780</xdr:colOff>
      <xdr:row>10</xdr:row>
      <xdr:rowOff>60961</xdr:rowOff>
    </xdr:to>
    <mc:AlternateContent xmlns:mc="http://schemas.openxmlformats.org/markup-compatibility/2006" xmlns:a14="http://schemas.microsoft.com/office/drawing/2010/main">
      <mc:Choice Requires="a14">
        <xdr:graphicFrame macro="">
          <xdr:nvGraphicFramePr>
            <xdr:cNvPr id="3" name="Category 2">
              <a:extLst>
                <a:ext uri="{FF2B5EF4-FFF2-40B4-BE49-F238E27FC236}">
                  <a16:creationId xmlns:a16="http://schemas.microsoft.com/office/drawing/2014/main" id="{5D21BD87-7F7C-7C1F-1A55-841A5ED2058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6774180" y="434341"/>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60960</xdr:colOff>
      <xdr:row>2</xdr:row>
      <xdr:rowOff>76200</xdr:rowOff>
    </xdr:from>
    <xdr:to>
      <xdr:col>15</xdr:col>
      <xdr:colOff>60960</xdr:colOff>
      <xdr:row>15</xdr:row>
      <xdr:rowOff>74295</xdr:rowOff>
    </xdr:to>
    <mc:AlternateContent xmlns:mc="http://schemas.openxmlformats.org/markup-compatibility/2006" xmlns:a14="http://schemas.microsoft.com/office/drawing/2010/main">
      <mc:Choice Requires="a14">
        <xdr:graphicFrame macro="">
          <xdr:nvGraphicFramePr>
            <xdr:cNvPr id="4" name="Salesperson 2">
              <a:extLst>
                <a:ext uri="{FF2B5EF4-FFF2-40B4-BE49-F238E27FC236}">
                  <a16:creationId xmlns:a16="http://schemas.microsoft.com/office/drawing/2014/main" id="{3525D48D-7273-BB67-6FA1-4014B55F5A2B}"/>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mlns="">
        <xdr:sp macro="" textlink="">
          <xdr:nvSpPr>
            <xdr:cNvPr id="0" name=""/>
            <xdr:cNvSpPr>
              <a:spLocks noTextEdit="1"/>
            </xdr:cNvSpPr>
          </xdr:nvSpPr>
          <xdr:spPr>
            <a:xfrm>
              <a:off x="8747760" y="457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601980</xdr:colOff>
      <xdr:row>18</xdr:row>
      <xdr:rowOff>68580</xdr:rowOff>
    </xdr:from>
    <xdr:to>
      <xdr:col>9</xdr:col>
      <xdr:colOff>45720</xdr:colOff>
      <xdr:row>33</xdr:row>
      <xdr:rowOff>53340</xdr:rowOff>
    </xdr:to>
    <xdr:graphicFrame macro="">
      <xdr:nvGraphicFramePr>
        <xdr:cNvPr id="5" name="Chart 4">
          <a:extLst>
            <a:ext uri="{FF2B5EF4-FFF2-40B4-BE49-F238E27FC236}">
              <a16:creationId xmlns:a16="http://schemas.microsoft.com/office/drawing/2014/main" id="{A6C5E37E-CBBC-93DE-FD22-364F5E066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83820</xdr:colOff>
      <xdr:row>38</xdr:row>
      <xdr:rowOff>129540</xdr:rowOff>
    </xdr:from>
    <xdr:to>
      <xdr:col>8</xdr:col>
      <xdr:colOff>68580</xdr:colOff>
      <xdr:row>49</xdr:row>
      <xdr:rowOff>121920</xdr:rowOff>
    </xdr:to>
    <xdr:graphicFrame macro="">
      <xdr:nvGraphicFramePr>
        <xdr:cNvPr id="6" name="Chart 5">
          <a:extLst>
            <a:ext uri="{FF2B5EF4-FFF2-40B4-BE49-F238E27FC236}">
              <a16:creationId xmlns:a16="http://schemas.microsoft.com/office/drawing/2014/main" id="{ED21157B-2C70-FC4C-0EEE-D6218B05D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548640</xdr:colOff>
      <xdr:row>54</xdr:row>
      <xdr:rowOff>76200</xdr:rowOff>
    </xdr:from>
    <xdr:to>
      <xdr:col>8</xdr:col>
      <xdr:colOff>137160</xdr:colOff>
      <xdr:row>67</xdr:row>
      <xdr:rowOff>30480</xdr:rowOff>
    </xdr:to>
    <xdr:graphicFrame macro="">
      <xdr:nvGraphicFramePr>
        <xdr:cNvPr id="7" name="Chart 6">
          <a:extLst>
            <a:ext uri="{FF2B5EF4-FFF2-40B4-BE49-F238E27FC236}">
              <a16:creationId xmlns:a16="http://schemas.microsoft.com/office/drawing/2014/main" id="{17C2F62E-F360-11C7-2691-111FC34F8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245110</xdr:colOff>
      <xdr:row>2</xdr:row>
      <xdr:rowOff>96096</xdr:rowOff>
    </xdr:from>
    <xdr:to>
      <xdr:col>23</xdr:col>
      <xdr:colOff>163129</xdr:colOff>
      <xdr:row>42</xdr:row>
      <xdr:rowOff>40216</xdr:rowOff>
    </xdr:to>
    <xdr:sp macro="" textlink="">
      <xdr:nvSpPr>
        <xdr:cNvPr id="2" name="Rectangle: Rounded Corners 1">
          <a:extLst>
            <a:ext uri="{FF2B5EF4-FFF2-40B4-BE49-F238E27FC236}">
              <a16:creationId xmlns:a16="http://schemas.microsoft.com/office/drawing/2014/main" id="{5D02BB01-7662-1D42-48E2-71CF9224CE9B}"/>
            </a:ext>
          </a:extLst>
        </xdr:cNvPr>
        <xdr:cNvSpPr/>
      </xdr:nvSpPr>
      <xdr:spPr>
        <a:xfrm>
          <a:off x="1472777" y="455929"/>
          <a:ext cx="12808519" cy="7140787"/>
        </a:xfrm>
        <a:prstGeom prst="roundRect">
          <a:avLst>
            <a:gd name="adj" fmla="val 533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426203</xdr:colOff>
      <xdr:row>3</xdr:row>
      <xdr:rowOff>109241</xdr:rowOff>
    </xdr:from>
    <xdr:to>
      <xdr:col>5</xdr:col>
      <xdr:colOff>477864</xdr:colOff>
      <xdr:row>41</xdr:row>
      <xdr:rowOff>83411</xdr:rowOff>
    </xdr:to>
    <xdr:sp macro="" textlink="">
      <xdr:nvSpPr>
        <xdr:cNvPr id="3" name="Rectangle: Top Corners Rounded 2">
          <a:extLst>
            <a:ext uri="{FF2B5EF4-FFF2-40B4-BE49-F238E27FC236}">
              <a16:creationId xmlns:a16="http://schemas.microsoft.com/office/drawing/2014/main" id="{8C800A09-AB7F-78B2-F710-BDB340E24D86}"/>
            </a:ext>
          </a:extLst>
        </xdr:cNvPr>
        <xdr:cNvSpPr/>
      </xdr:nvSpPr>
      <xdr:spPr>
        <a:xfrm>
          <a:off x="1653870" y="648991"/>
          <a:ext cx="1893161" cy="6811003"/>
        </a:xfrm>
        <a:prstGeom prst="round2SameRect">
          <a:avLst/>
        </a:prstGeom>
        <a:solidFill>
          <a:srgbClr val="3A3A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51661</xdr:colOff>
      <xdr:row>3</xdr:row>
      <xdr:rowOff>103321</xdr:rowOff>
    </xdr:from>
    <xdr:to>
      <xdr:col>22</xdr:col>
      <xdr:colOff>529526</xdr:colOff>
      <xdr:row>8</xdr:row>
      <xdr:rowOff>142068</xdr:rowOff>
    </xdr:to>
    <xdr:sp macro="" textlink="">
      <xdr:nvSpPr>
        <xdr:cNvPr id="4" name="Rectangle 3">
          <a:extLst>
            <a:ext uri="{FF2B5EF4-FFF2-40B4-BE49-F238E27FC236}">
              <a16:creationId xmlns:a16="http://schemas.microsoft.com/office/drawing/2014/main" id="{8A76A7CB-B6A3-8B79-2B97-99CB5A12C239}"/>
            </a:ext>
          </a:extLst>
        </xdr:cNvPr>
        <xdr:cNvSpPr/>
      </xdr:nvSpPr>
      <xdr:spPr>
        <a:xfrm>
          <a:off x="3693763" y="645762"/>
          <a:ext cx="10190136" cy="942814"/>
        </a:xfrm>
        <a:prstGeom prst="rect">
          <a:avLst/>
        </a:prstGeom>
        <a:solidFill>
          <a:srgbClr val="3A3A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109241</xdr:colOff>
      <xdr:row>9</xdr:row>
      <xdr:rowOff>129153</xdr:rowOff>
    </xdr:from>
    <xdr:to>
      <xdr:col>10</xdr:col>
      <xdr:colOff>31751</xdr:colOff>
      <xdr:row>16</xdr:row>
      <xdr:rowOff>12915</xdr:rowOff>
    </xdr:to>
    <xdr:sp macro="" textlink="">
      <xdr:nvSpPr>
        <xdr:cNvPr id="5" name="Rectangle: Rounded Corners 4">
          <a:extLst>
            <a:ext uri="{FF2B5EF4-FFF2-40B4-BE49-F238E27FC236}">
              <a16:creationId xmlns:a16="http://schemas.microsoft.com/office/drawing/2014/main" id="{F2B16A6D-0231-4AB9-08F5-A56A75885AF3}"/>
            </a:ext>
          </a:extLst>
        </xdr:cNvPr>
        <xdr:cNvSpPr/>
      </xdr:nvSpPr>
      <xdr:spPr>
        <a:xfrm>
          <a:off x="3792241" y="1748403"/>
          <a:ext cx="2377843" cy="1143179"/>
        </a:xfrm>
        <a:prstGeom prst="roundRect">
          <a:avLst/>
        </a:prstGeom>
        <a:solidFill>
          <a:srgbClr val="3A3A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247973</xdr:colOff>
      <xdr:row>9</xdr:row>
      <xdr:rowOff>139486</xdr:rowOff>
    </xdr:from>
    <xdr:to>
      <xdr:col>14</xdr:col>
      <xdr:colOff>170482</xdr:colOff>
      <xdr:row>16</xdr:row>
      <xdr:rowOff>23248</xdr:rowOff>
    </xdr:to>
    <xdr:sp macro="" textlink="">
      <xdr:nvSpPr>
        <xdr:cNvPr id="6" name="Rectangle: Rounded Corners 5">
          <a:extLst>
            <a:ext uri="{FF2B5EF4-FFF2-40B4-BE49-F238E27FC236}">
              <a16:creationId xmlns:a16="http://schemas.microsoft.com/office/drawing/2014/main" id="{4CA7AC9A-1DBE-48EC-9E58-F953FE2275F3}"/>
            </a:ext>
          </a:extLst>
        </xdr:cNvPr>
        <xdr:cNvSpPr/>
      </xdr:nvSpPr>
      <xdr:spPr>
        <a:xfrm>
          <a:off x="6386306" y="1758736"/>
          <a:ext cx="2377843" cy="1143179"/>
        </a:xfrm>
        <a:prstGeom prst="roundRect">
          <a:avLst/>
        </a:prstGeom>
        <a:solidFill>
          <a:srgbClr val="3A3A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6853</xdr:colOff>
      <xdr:row>9</xdr:row>
      <xdr:rowOff>162732</xdr:rowOff>
    </xdr:from>
    <xdr:to>
      <xdr:col>22</xdr:col>
      <xdr:colOff>543195</xdr:colOff>
      <xdr:row>16</xdr:row>
      <xdr:rowOff>46494</xdr:rowOff>
    </xdr:to>
    <xdr:sp macro="" textlink="">
      <xdr:nvSpPr>
        <xdr:cNvPr id="7" name="Rectangle: Rounded Corners 6">
          <a:extLst>
            <a:ext uri="{FF2B5EF4-FFF2-40B4-BE49-F238E27FC236}">
              <a16:creationId xmlns:a16="http://schemas.microsoft.com/office/drawing/2014/main" id="{6DC8B1CF-BC58-4805-84E8-EE003D45A9B7}"/>
            </a:ext>
          </a:extLst>
        </xdr:cNvPr>
        <xdr:cNvSpPr/>
      </xdr:nvSpPr>
      <xdr:spPr>
        <a:xfrm>
          <a:off x="11669686" y="1781982"/>
          <a:ext cx="2377842" cy="1143179"/>
        </a:xfrm>
        <a:prstGeom prst="roundRect">
          <a:avLst/>
        </a:prstGeom>
        <a:solidFill>
          <a:srgbClr val="3A3A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418454</xdr:colOff>
      <xdr:row>9</xdr:row>
      <xdr:rowOff>160149</xdr:rowOff>
    </xdr:from>
    <xdr:to>
      <xdr:col>18</xdr:col>
      <xdr:colOff>340963</xdr:colOff>
      <xdr:row>16</xdr:row>
      <xdr:rowOff>43911</xdr:rowOff>
    </xdr:to>
    <xdr:sp macro="" textlink="">
      <xdr:nvSpPr>
        <xdr:cNvPr id="8" name="Rectangle: Rounded Corners 7">
          <a:extLst>
            <a:ext uri="{FF2B5EF4-FFF2-40B4-BE49-F238E27FC236}">
              <a16:creationId xmlns:a16="http://schemas.microsoft.com/office/drawing/2014/main" id="{6B66FB48-3A1A-466A-A899-E35BE8FA2A53}"/>
            </a:ext>
          </a:extLst>
        </xdr:cNvPr>
        <xdr:cNvSpPr/>
      </xdr:nvSpPr>
      <xdr:spPr>
        <a:xfrm>
          <a:off x="9012121" y="1779399"/>
          <a:ext cx="2377842" cy="1143179"/>
        </a:xfrm>
        <a:prstGeom prst="roundRect">
          <a:avLst/>
        </a:prstGeom>
        <a:solidFill>
          <a:srgbClr val="3A3A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116237</xdr:colOff>
      <xdr:row>17</xdr:row>
      <xdr:rowOff>77491</xdr:rowOff>
    </xdr:from>
    <xdr:to>
      <xdr:col>22</xdr:col>
      <xdr:colOff>594102</xdr:colOff>
      <xdr:row>41</xdr:row>
      <xdr:rowOff>51661</xdr:rowOff>
    </xdr:to>
    <xdr:sp macro="" textlink="">
      <xdr:nvSpPr>
        <xdr:cNvPr id="13" name="Rectangle: Rounded Corners 12">
          <a:extLst>
            <a:ext uri="{FF2B5EF4-FFF2-40B4-BE49-F238E27FC236}">
              <a16:creationId xmlns:a16="http://schemas.microsoft.com/office/drawing/2014/main" id="{25C0EB1C-C1F0-FF75-5933-940B7915097A}"/>
            </a:ext>
          </a:extLst>
        </xdr:cNvPr>
        <xdr:cNvSpPr/>
      </xdr:nvSpPr>
      <xdr:spPr>
        <a:xfrm>
          <a:off x="3758339" y="3151322"/>
          <a:ext cx="10190136" cy="4313695"/>
        </a:xfrm>
        <a:prstGeom prst="roundRect">
          <a:avLst/>
        </a:prstGeom>
        <a:solidFill>
          <a:srgbClr val="FAFA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386747</xdr:colOff>
      <xdr:row>20</xdr:row>
      <xdr:rowOff>106551</xdr:rowOff>
    </xdr:from>
    <xdr:to>
      <xdr:col>12</xdr:col>
      <xdr:colOff>76782</xdr:colOff>
      <xdr:row>39</xdr:row>
      <xdr:rowOff>145296</xdr:rowOff>
    </xdr:to>
    <xdr:graphicFrame macro="">
      <xdr:nvGraphicFramePr>
        <xdr:cNvPr id="14" name="Chart 13">
          <a:extLst>
            <a:ext uri="{FF2B5EF4-FFF2-40B4-BE49-F238E27FC236}">
              <a16:creationId xmlns:a16="http://schemas.microsoft.com/office/drawing/2014/main" id="{99840233-773E-4A21-8368-3FB56516A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135611</xdr:colOff>
      <xdr:row>20</xdr:row>
      <xdr:rowOff>113008</xdr:rowOff>
    </xdr:from>
    <xdr:to>
      <xdr:col>17</xdr:col>
      <xdr:colOff>109780</xdr:colOff>
      <xdr:row>39</xdr:row>
      <xdr:rowOff>138839</xdr:rowOff>
    </xdr:to>
    <xdr:graphicFrame macro="">
      <xdr:nvGraphicFramePr>
        <xdr:cNvPr id="15" name="Chart 14">
          <a:extLst>
            <a:ext uri="{FF2B5EF4-FFF2-40B4-BE49-F238E27FC236}">
              <a16:creationId xmlns:a16="http://schemas.microsoft.com/office/drawing/2014/main" id="{EDA1C124-E3E0-42B9-B5EF-55412954D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193729</xdr:colOff>
      <xdr:row>20</xdr:row>
      <xdr:rowOff>106550</xdr:rowOff>
    </xdr:from>
    <xdr:to>
      <xdr:col>22</xdr:col>
      <xdr:colOff>361627</xdr:colOff>
      <xdr:row>39</xdr:row>
      <xdr:rowOff>145296</xdr:rowOff>
    </xdr:to>
    <xdr:graphicFrame macro="">
      <xdr:nvGraphicFramePr>
        <xdr:cNvPr id="20" name="Chart 19">
          <a:extLst>
            <a:ext uri="{FF2B5EF4-FFF2-40B4-BE49-F238E27FC236}">
              <a16:creationId xmlns:a16="http://schemas.microsoft.com/office/drawing/2014/main" id="{A0B722F9-BB01-4C14-9CA1-E70E45FFB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129153</xdr:colOff>
      <xdr:row>19</xdr:row>
      <xdr:rowOff>69742</xdr:rowOff>
    </xdr:from>
    <xdr:to>
      <xdr:col>12</xdr:col>
      <xdr:colOff>142068</xdr:colOff>
      <xdr:row>40</xdr:row>
      <xdr:rowOff>147234</xdr:rowOff>
    </xdr:to>
    <xdr:cxnSp macro="">
      <xdr:nvCxnSpPr>
        <xdr:cNvPr id="22" name="Straight Connector 21">
          <a:extLst>
            <a:ext uri="{FF2B5EF4-FFF2-40B4-BE49-F238E27FC236}">
              <a16:creationId xmlns:a16="http://schemas.microsoft.com/office/drawing/2014/main" id="{104AA633-2133-B051-988F-74635F46FFF1}"/>
            </a:ext>
          </a:extLst>
        </xdr:cNvPr>
        <xdr:cNvCxnSpPr/>
      </xdr:nvCxnSpPr>
      <xdr:spPr>
        <a:xfrm>
          <a:off x="7413356" y="3505200"/>
          <a:ext cx="12915" cy="3874576"/>
        </a:xfrm>
        <a:prstGeom prst="line">
          <a:avLst/>
        </a:prstGeom>
        <a:ln>
          <a:solidFill>
            <a:srgbClr val="7F8C8D"/>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139485</xdr:colOff>
      <xdr:row>19</xdr:row>
      <xdr:rowOff>69742</xdr:rowOff>
    </xdr:from>
    <xdr:to>
      <xdr:col>17</xdr:col>
      <xdr:colOff>152400</xdr:colOff>
      <xdr:row>40</xdr:row>
      <xdr:rowOff>147234</xdr:rowOff>
    </xdr:to>
    <xdr:cxnSp macro="">
      <xdr:nvCxnSpPr>
        <xdr:cNvPr id="23" name="Straight Connector 22">
          <a:extLst>
            <a:ext uri="{FF2B5EF4-FFF2-40B4-BE49-F238E27FC236}">
              <a16:creationId xmlns:a16="http://schemas.microsoft.com/office/drawing/2014/main" id="{7732AF0A-59EA-46AE-A078-29AE978EA90F}"/>
            </a:ext>
          </a:extLst>
        </xdr:cNvPr>
        <xdr:cNvCxnSpPr/>
      </xdr:nvCxnSpPr>
      <xdr:spPr>
        <a:xfrm>
          <a:off x="10458773" y="3505200"/>
          <a:ext cx="12915" cy="3874576"/>
        </a:xfrm>
        <a:prstGeom prst="line">
          <a:avLst/>
        </a:prstGeom>
        <a:ln>
          <a:solidFill>
            <a:srgbClr val="7F8C8D"/>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117231</xdr:colOff>
      <xdr:row>17</xdr:row>
      <xdr:rowOff>168368</xdr:rowOff>
    </xdr:from>
    <xdr:to>
      <xdr:col>11</xdr:col>
      <xdr:colOff>535912</xdr:colOff>
      <xdr:row>19</xdr:row>
      <xdr:rowOff>139176</xdr:rowOff>
    </xdr:to>
    <xdr:sp macro="" textlink="">
      <xdr:nvSpPr>
        <xdr:cNvPr id="27" name="TextBox 26">
          <a:extLst>
            <a:ext uri="{FF2B5EF4-FFF2-40B4-BE49-F238E27FC236}">
              <a16:creationId xmlns:a16="http://schemas.microsoft.com/office/drawing/2014/main" id="{5E5A95A5-5736-3A46-2FE5-C9D3B61F2F87}"/>
            </a:ext>
          </a:extLst>
        </xdr:cNvPr>
        <xdr:cNvSpPr txBox="1"/>
      </xdr:nvSpPr>
      <xdr:spPr>
        <a:xfrm>
          <a:off x="4414064" y="3226951"/>
          <a:ext cx="2874015" cy="330642"/>
        </a:xfrm>
        <a:prstGeom prst="rect">
          <a:avLst/>
        </a:prstGeom>
        <a:solidFill>
          <a:srgbClr val="FAFA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Segoe UI Semibold" panose="020B0702040204020203" pitchFamily="34" charset="0"/>
              <a:cs typeface="Segoe UI Semibold" panose="020B0702040204020203" pitchFamily="34" charset="0"/>
            </a:rPr>
            <a:t>Sales</a:t>
          </a:r>
          <a:r>
            <a:rPr lang="en-IN" sz="1600" baseline="0">
              <a:latin typeface="Segoe UI Semibold" panose="020B0702040204020203" pitchFamily="34" charset="0"/>
              <a:cs typeface="Segoe UI Semibold" panose="020B0702040204020203" pitchFamily="34" charset="0"/>
            </a:rPr>
            <a:t> By Treand</a:t>
          </a: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17</xdr:col>
      <xdr:colOff>300450</xdr:colOff>
      <xdr:row>17</xdr:row>
      <xdr:rowOff>170520</xdr:rowOff>
    </xdr:from>
    <xdr:to>
      <xdr:col>22</xdr:col>
      <xdr:colOff>107857</xdr:colOff>
      <xdr:row>19</xdr:row>
      <xdr:rowOff>137025</xdr:rowOff>
    </xdr:to>
    <xdr:sp macro="" textlink="">
      <xdr:nvSpPr>
        <xdr:cNvPr id="29" name="TextBox 28">
          <a:extLst>
            <a:ext uri="{FF2B5EF4-FFF2-40B4-BE49-F238E27FC236}">
              <a16:creationId xmlns:a16="http://schemas.microsoft.com/office/drawing/2014/main" id="{85503A1D-CECF-46C6-8307-BEBC4D6B0EF0}"/>
            </a:ext>
          </a:extLst>
        </xdr:cNvPr>
        <xdr:cNvSpPr txBox="1"/>
      </xdr:nvSpPr>
      <xdr:spPr>
        <a:xfrm>
          <a:off x="10735617" y="3229103"/>
          <a:ext cx="2876573" cy="326339"/>
        </a:xfrm>
        <a:prstGeom prst="rect">
          <a:avLst/>
        </a:prstGeom>
        <a:solidFill>
          <a:srgbClr val="FAFA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Segoe UI Semibold" panose="020B0702040204020203" pitchFamily="34" charset="0"/>
              <a:cs typeface="Segoe UI Semibold" panose="020B0702040204020203" pitchFamily="34" charset="0"/>
            </a:rPr>
            <a:t>Sales</a:t>
          </a:r>
          <a:r>
            <a:rPr lang="en-IN" sz="1600" baseline="0">
              <a:latin typeface="Segoe UI Semibold" panose="020B0702040204020203" pitchFamily="34" charset="0"/>
              <a:cs typeface="Segoe UI Semibold" panose="020B0702040204020203" pitchFamily="34" charset="0"/>
            </a:rPr>
            <a:t> By Region</a:t>
          </a: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12</xdr:col>
      <xdr:colOff>234089</xdr:colOff>
      <xdr:row>17</xdr:row>
      <xdr:rowOff>168368</xdr:rowOff>
    </xdr:from>
    <xdr:to>
      <xdr:col>17</xdr:col>
      <xdr:colOff>38937</xdr:colOff>
      <xdr:row>19</xdr:row>
      <xdr:rowOff>139176</xdr:rowOff>
    </xdr:to>
    <xdr:sp macro="" textlink="">
      <xdr:nvSpPr>
        <xdr:cNvPr id="31" name="TextBox 30">
          <a:extLst>
            <a:ext uri="{FF2B5EF4-FFF2-40B4-BE49-F238E27FC236}">
              <a16:creationId xmlns:a16="http://schemas.microsoft.com/office/drawing/2014/main" id="{344C7CCA-64CA-4A04-A5D9-B1A1D78BA8E5}"/>
            </a:ext>
          </a:extLst>
        </xdr:cNvPr>
        <xdr:cNvSpPr txBox="1"/>
      </xdr:nvSpPr>
      <xdr:spPr>
        <a:xfrm>
          <a:off x="7600089" y="3226951"/>
          <a:ext cx="2874015" cy="330642"/>
        </a:xfrm>
        <a:prstGeom prst="rect">
          <a:avLst/>
        </a:prstGeom>
        <a:solidFill>
          <a:srgbClr val="FAFA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Segoe UI Semibold" panose="020B0702040204020203" pitchFamily="34" charset="0"/>
              <a:cs typeface="Segoe UI Semibold" panose="020B0702040204020203" pitchFamily="34" charset="0"/>
            </a:rPr>
            <a:t>Sales</a:t>
          </a:r>
          <a:r>
            <a:rPr lang="en-IN" sz="1600" baseline="0">
              <a:latin typeface="Segoe UI Semibold" panose="020B0702040204020203" pitchFamily="34" charset="0"/>
              <a:cs typeface="Segoe UI Semibold" panose="020B0702040204020203" pitchFamily="34" charset="0"/>
            </a:rPr>
            <a:t> By Category</a:t>
          </a: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6</xdr:col>
      <xdr:colOff>296333</xdr:colOff>
      <xdr:row>10</xdr:row>
      <xdr:rowOff>60325</xdr:rowOff>
    </xdr:from>
    <xdr:to>
      <xdr:col>8</xdr:col>
      <xdr:colOff>603250</xdr:colOff>
      <xdr:row>12</xdr:row>
      <xdr:rowOff>113242</xdr:rowOff>
    </xdr:to>
    <xdr:sp macro="" textlink="">
      <xdr:nvSpPr>
        <xdr:cNvPr id="32" name="TextBox 31">
          <a:extLst>
            <a:ext uri="{FF2B5EF4-FFF2-40B4-BE49-F238E27FC236}">
              <a16:creationId xmlns:a16="http://schemas.microsoft.com/office/drawing/2014/main" id="{AE598ADD-7AE1-1F19-AB25-5B38C5862267}"/>
            </a:ext>
          </a:extLst>
        </xdr:cNvPr>
        <xdr:cNvSpPr txBox="1"/>
      </xdr:nvSpPr>
      <xdr:spPr>
        <a:xfrm>
          <a:off x="3979333" y="1859492"/>
          <a:ext cx="1534584" cy="412750"/>
        </a:xfrm>
        <a:prstGeom prst="rect">
          <a:avLst/>
        </a:prstGeom>
        <a:solidFill>
          <a:srgbClr val="3A3A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a:solidFill>
                <a:srgbClr val="BFC3D9"/>
              </a:solidFill>
            </a:rPr>
            <a:t>Total Sales</a:t>
          </a:r>
        </a:p>
      </xdr:txBody>
    </xdr:sp>
    <xdr:clientData/>
  </xdr:twoCellAnchor>
  <xdr:twoCellAnchor>
    <xdr:from>
      <xdr:col>10</xdr:col>
      <xdr:colOff>279400</xdr:colOff>
      <xdr:row>10</xdr:row>
      <xdr:rowOff>60325</xdr:rowOff>
    </xdr:from>
    <xdr:to>
      <xdr:col>12</xdr:col>
      <xdr:colOff>586317</xdr:colOff>
      <xdr:row>12</xdr:row>
      <xdr:rowOff>113242</xdr:rowOff>
    </xdr:to>
    <xdr:sp macro="" textlink="">
      <xdr:nvSpPr>
        <xdr:cNvPr id="33" name="TextBox 32">
          <a:extLst>
            <a:ext uri="{FF2B5EF4-FFF2-40B4-BE49-F238E27FC236}">
              <a16:creationId xmlns:a16="http://schemas.microsoft.com/office/drawing/2014/main" id="{723F3A96-6FA2-4309-8A12-0AC973A97528}"/>
            </a:ext>
          </a:extLst>
        </xdr:cNvPr>
        <xdr:cNvSpPr txBox="1"/>
      </xdr:nvSpPr>
      <xdr:spPr>
        <a:xfrm>
          <a:off x="6417733" y="1859492"/>
          <a:ext cx="1534584" cy="412750"/>
        </a:xfrm>
        <a:prstGeom prst="rect">
          <a:avLst/>
        </a:prstGeom>
        <a:solidFill>
          <a:srgbClr val="3A3A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a:solidFill>
                <a:srgbClr val="BFC3D9"/>
              </a:solidFill>
            </a:rPr>
            <a:t>Total Orders</a:t>
          </a:r>
        </a:p>
      </xdr:txBody>
    </xdr:sp>
    <xdr:clientData/>
  </xdr:twoCellAnchor>
  <xdr:twoCellAnchor>
    <xdr:from>
      <xdr:col>14</xdr:col>
      <xdr:colOff>452965</xdr:colOff>
      <xdr:row>10</xdr:row>
      <xdr:rowOff>71967</xdr:rowOff>
    </xdr:from>
    <xdr:to>
      <xdr:col>17</xdr:col>
      <xdr:colOff>423332</xdr:colOff>
      <xdr:row>12</xdr:row>
      <xdr:rowOff>124884</xdr:rowOff>
    </xdr:to>
    <xdr:sp macro="" textlink="">
      <xdr:nvSpPr>
        <xdr:cNvPr id="34" name="TextBox 33">
          <a:extLst>
            <a:ext uri="{FF2B5EF4-FFF2-40B4-BE49-F238E27FC236}">
              <a16:creationId xmlns:a16="http://schemas.microsoft.com/office/drawing/2014/main" id="{E26154BD-BBE5-4C5F-B7AD-3D93E4AC9C7E}"/>
            </a:ext>
          </a:extLst>
        </xdr:cNvPr>
        <xdr:cNvSpPr txBox="1"/>
      </xdr:nvSpPr>
      <xdr:spPr>
        <a:xfrm>
          <a:off x="9046632" y="1871134"/>
          <a:ext cx="1811867" cy="412750"/>
        </a:xfrm>
        <a:prstGeom prst="rect">
          <a:avLst/>
        </a:prstGeom>
        <a:solidFill>
          <a:srgbClr val="3A3A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BFC3D9"/>
              </a:solidFill>
            </a:rPr>
            <a:t>AVG</a:t>
          </a:r>
          <a:r>
            <a:rPr lang="en-IN" sz="1800" baseline="0">
              <a:solidFill>
                <a:srgbClr val="BFC3D9"/>
              </a:solidFill>
            </a:rPr>
            <a:t> Order Value</a:t>
          </a:r>
          <a:endParaRPr lang="en-IN" sz="1800">
            <a:solidFill>
              <a:srgbClr val="BFC3D9"/>
            </a:solidFill>
          </a:endParaRPr>
        </a:p>
      </xdr:txBody>
    </xdr:sp>
    <xdr:clientData/>
  </xdr:twoCellAnchor>
  <xdr:twoCellAnchor>
    <xdr:from>
      <xdr:col>19</xdr:col>
      <xdr:colOff>129115</xdr:colOff>
      <xdr:row>10</xdr:row>
      <xdr:rowOff>55033</xdr:rowOff>
    </xdr:from>
    <xdr:to>
      <xdr:col>22</xdr:col>
      <xdr:colOff>21166</xdr:colOff>
      <xdr:row>12</xdr:row>
      <xdr:rowOff>107950</xdr:rowOff>
    </xdr:to>
    <xdr:sp macro="" textlink="">
      <xdr:nvSpPr>
        <xdr:cNvPr id="35" name="TextBox 34">
          <a:extLst>
            <a:ext uri="{FF2B5EF4-FFF2-40B4-BE49-F238E27FC236}">
              <a16:creationId xmlns:a16="http://schemas.microsoft.com/office/drawing/2014/main" id="{CA7D284B-5D57-43CC-9A61-12F0543353E6}"/>
            </a:ext>
          </a:extLst>
        </xdr:cNvPr>
        <xdr:cNvSpPr txBox="1"/>
      </xdr:nvSpPr>
      <xdr:spPr>
        <a:xfrm>
          <a:off x="11791948" y="1854200"/>
          <a:ext cx="1733551" cy="412750"/>
        </a:xfrm>
        <a:prstGeom prst="rect">
          <a:avLst/>
        </a:prstGeom>
        <a:solidFill>
          <a:srgbClr val="3A3A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BFC3D9"/>
              </a:solidFill>
            </a:rPr>
            <a:t>Total</a:t>
          </a:r>
          <a:r>
            <a:rPr lang="en-IN" sz="1800" baseline="0">
              <a:solidFill>
                <a:srgbClr val="BFC3D9"/>
              </a:solidFill>
            </a:rPr>
            <a:t> Item Sold</a:t>
          </a:r>
          <a:endParaRPr lang="en-IN" sz="1800">
            <a:solidFill>
              <a:srgbClr val="BFC3D9"/>
            </a:solidFill>
          </a:endParaRPr>
        </a:p>
      </xdr:txBody>
    </xdr:sp>
    <xdr:clientData/>
  </xdr:twoCellAnchor>
  <xdr:twoCellAnchor>
    <xdr:from>
      <xdr:col>14</xdr:col>
      <xdr:colOff>505882</xdr:colOff>
      <xdr:row>10</xdr:row>
      <xdr:rowOff>60325</xdr:rowOff>
    </xdr:from>
    <xdr:to>
      <xdr:col>17</xdr:col>
      <xdr:colOff>476249</xdr:colOff>
      <xdr:row>12</xdr:row>
      <xdr:rowOff>113242</xdr:rowOff>
    </xdr:to>
    <xdr:sp macro="" textlink="">
      <xdr:nvSpPr>
        <xdr:cNvPr id="36" name="TextBox 35">
          <a:extLst>
            <a:ext uri="{FF2B5EF4-FFF2-40B4-BE49-F238E27FC236}">
              <a16:creationId xmlns:a16="http://schemas.microsoft.com/office/drawing/2014/main" id="{38FBA8CC-6C76-5BA2-6A97-00C9B5184288}"/>
            </a:ext>
          </a:extLst>
        </xdr:cNvPr>
        <xdr:cNvSpPr txBox="1"/>
      </xdr:nvSpPr>
      <xdr:spPr>
        <a:xfrm>
          <a:off x="9099549" y="1859492"/>
          <a:ext cx="1811867" cy="412750"/>
        </a:xfrm>
        <a:prstGeom prst="rect">
          <a:avLst/>
        </a:prstGeom>
        <a:solidFill>
          <a:srgbClr val="3A3A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a:solidFill>
                <a:srgbClr val="BFC3D9"/>
              </a:solidFill>
            </a:rPr>
            <a:t>AVG</a:t>
          </a:r>
          <a:r>
            <a:rPr lang="en-IN" sz="1800" baseline="0">
              <a:solidFill>
                <a:srgbClr val="BFC3D9"/>
              </a:solidFill>
            </a:rPr>
            <a:t> Order Value</a:t>
          </a:r>
          <a:endParaRPr lang="en-IN" sz="1800">
            <a:solidFill>
              <a:srgbClr val="BFC3D9"/>
            </a:solidFill>
          </a:endParaRPr>
        </a:p>
      </xdr:txBody>
    </xdr:sp>
    <xdr:clientData/>
  </xdr:twoCellAnchor>
  <xdr:twoCellAnchor>
    <xdr:from>
      <xdr:col>19</xdr:col>
      <xdr:colOff>144991</xdr:colOff>
      <xdr:row>10</xdr:row>
      <xdr:rowOff>81492</xdr:rowOff>
    </xdr:from>
    <xdr:to>
      <xdr:col>22</xdr:col>
      <xdr:colOff>37042</xdr:colOff>
      <xdr:row>12</xdr:row>
      <xdr:rowOff>134409</xdr:rowOff>
    </xdr:to>
    <xdr:sp macro="" textlink="">
      <xdr:nvSpPr>
        <xdr:cNvPr id="37" name="TextBox 36">
          <a:extLst>
            <a:ext uri="{FF2B5EF4-FFF2-40B4-BE49-F238E27FC236}">
              <a16:creationId xmlns:a16="http://schemas.microsoft.com/office/drawing/2014/main" id="{DAD1C0F0-ED31-145F-204B-4D13D51435DC}"/>
            </a:ext>
          </a:extLst>
        </xdr:cNvPr>
        <xdr:cNvSpPr txBox="1"/>
      </xdr:nvSpPr>
      <xdr:spPr>
        <a:xfrm>
          <a:off x="11807824" y="1880659"/>
          <a:ext cx="1733551" cy="412750"/>
        </a:xfrm>
        <a:prstGeom prst="rect">
          <a:avLst/>
        </a:prstGeom>
        <a:solidFill>
          <a:srgbClr val="3A3A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a:solidFill>
                <a:srgbClr val="BFC3D9"/>
              </a:solidFill>
            </a:rPr>
            <a:t>Total</a:t>
          </a:r>
          <a:r>
            <a:rPr lang="en-IN" sz="1800" baseline="0">
              <a:solidFill>
                <a:srgbClr val="BFC3D9"/>
              </a:solidFill>
            </a:rPr>
            <a:t> Item Sold</a:t>
          </a:r>
          <a:endParaRPr lang="en-IN" sz="1800">
            <a:solidFill>
              <a:srgbClr val="BFC3D9"/>
            </a:solidFill>
          </a:endParaRPr>
        </a:p>
      </xdr:txBody>
    </xdr:sp>
    <xdr:clientData/>
  </xdr:twoCellAnchor>
  <xdr:twoCellAnchor>
    <xdr:from>
      <xdr:col>6</xdr:col>
      <xdr:colOff>158750</xdr:colOff>
      <xdr:row>4</xdr:row>
      <xdr:rowOff>10583</xdr:rowOff>
    </xdr:from>
    <xdr:to>
      <xdr:col>22</xdr:col>
      <xdr:colOff>476250</xdr:colOff>
      <xdr:row>8</xdr:row>
      <xdr:rowOff>21167</xdr:rowOff>
    </xdr:to>
    <xdr:sp macro="" textlink="">
      <xdr:nvSpPr>
        <xdr:cNvPr id="38" name="TextBox 37">
          <a:extLst>
            <a:ext uri="{FF2B5EF4-FFF2-40B4-BE49-F238E27FC236}">
              <a16:creationId xmlns:a16="http://schemas.microsoft.com/office/drawing/2014/main" id="{225F34C2-11E6-5FA2-4714-EDE8268BC3BF}"/>
            </a:ext>
          </a:extLst>
        </xdr:cNvPr>
        <xdr:cNvSpPr txBox="1"/>
      </xdr:nvSpPr>
      <xdr:spPr>
        <a:xfrm>
          <a:off x="3841750" y="730250"/>
          <a:ext cx="10138833" cy="730250"/>
        </a:xfrm>
        <a:prstGeom prst="rect">
          <a:avLst/>
        </a:prstGeom>
        <a:solidFill>
          <a:srgbClr val="3A3A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solidFill>
                <a:srgbClr val="BFC3D9"/>
              </a:solidFill>
              <a:latin typeface="Segoe UI Semibold" panose="020B0702040204020203" pitchFamily="34" charset="0"/>
              <a:cs typeface="Segoe UI Semibold" panose="020B0702040204020203" pitchFamily="34" charset="0"/>
            </a:rPr>
            <a:t>RETAIL SALES ANALYSIS</a:t>
          </a:r>
        </a:p>
      </xdr:txBody>
    </xdr:sp>
    <xdr:clientData/>
  </xdr:twoCellAnchor>
  <xdr:twoCellAnchor>
    <xdr:from>
      <xdr:col>6</xdr:col>
      <xdr:colOff>211666</xdr:colOff>
      <xdr:row>12</xdr:row>
      <xdr:rowOff>41275</xdr:rowOff>
    </xdr:from>
    <xdr:to>
      <xdr:col>8</xdr:col>
      <xdr:colOff>380999</xdr:colOff>
      <xdr:row>15</xdr:row>
      <xdr:rowOff>83608</xdr:rowOff>
    </xdr:to>
    <xdr:sp macro="" textlink="'Pivot_Table-3'!$C$4">
      <xdr:nvSpPr>
        <xdr:cNvPr id="39" name="TextBox 38">
          <a:extLst>
            <a:ext uri="{FF2B5EF4-FFF2-40B4-BE49-F238E27FC236}">
              <a16:creationId xmlns:a16="http://schemas.microsoft.com/office/drawing/2014/main" id="{86A29DE6-E5C1-13E3-4D33-F6B111EBABE9}"/>
            </a:ext>
          </a:extLst>
        </xdr:cNvPr>
        <xdr:cNvSpPr txBox="1"/>
      </xdr:nvSpPr>
      <xdr:spPr>
        <a:xfrm>
          <a:off x="3894666" y="2200275"/>
          <a:ext cx="1397000" cy="582083"/>
        </a:xfrm>
        <a:prstGeom prst="rect">
          <a:avLst/>
        </a:prstGeom>
        <a:solidFill>
          <a:srgbClr val="3A3A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BEEC40-B342-49D2-A1FA-7402CF19339D}" type="TxLink">
            <a:rPr lang="en-US" sz="2000" b="0" i="0" u="none" strike="noStrike">
              <a:solidFill>
                <a:srgbClr val="BFC3D9"/>
              </a:solidFill>
              <a:latin typeface="Segoe UI Semibold" panose="020B0702040204020203" pitchFamily="34" charset="0"/>
              <a:ea typeface="Calibri"/>
              <a:cs typeface="Segoe UI Semibold" panose="020B0702040204020203" pitchFamily="34" charset="0"/>
            </a:rPr>
            <a:pPr algn="ctr"/>
            <a:t>₹24.00M</a:t>
          </a:fld>
          <a:endParaRPr lang="en-IN" sz="2000">
            <a:solidFill>
              <a:srgbClr val="BFC3D9"/>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348192</xdr:colOff>
      <xdr:row>12</xdr:row>
      <xdr:rowOff>41275</xdr:rowOff>
    </xdr:from>
    <xdr:to>
      <xdr:col>12</xdr:col>
      <xdr:colOff>517525</xdr:colOff>
      <xdr:row>15</xdr:row>
      <xdr:rowOff>83608</xdr:rowOff>
    </xdr:to>
    <xdr:sp macro="" textlink="'Pivot_Table-3'!$C$8">
      <xdr:nvSpPr>
        <xdr:cNvPr id="40" name="TextBox 39">
          <a:extLst>
            <a:ext uri="{FF2B5EF4-FFF2-40B4-BE49-F238E27FC236}">
              <a16:creationId xmlns:a16="http://schemas.microsoft.com/office/drawing/2014/main" id="{5801510D-A114-48AA-8A7A-5B9F4F67916A}"/>
            </a:ext>
          </a:extLst>
        </xdr:cNvPr>
        <xdr:cNvSpPr txBox="1"/>
      </xdr:nvSpPr>
      <xdr:spPr>
        <a:xfrm>
          <a:off x="6486525" y="2200275"/>
          <a:ext cx="1397000" cy="582083"/>
        </a:xfrm>
        <a:prstGeom prst="rect">
          <a:avLst/>
        </a:prstGeom>
        <a:solidFill>
          <a:srgbClr val="3A3A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320D2B-2A20-43D5-B673-C5FA35067DB6}" type="TxLink">
            <a:rPr lang="en-US" sz="2400" b="0" i="0" u="none" strike="noStrike">
              <a:solidFill>
                <a:srgbClr val="BFC3D9"/>
              </a:solidFill>
              <a:latin typeface="Segoe UI Semibold" panose="020B0702040204020203" pitchFamily="34" charset="0"/>
              <a:ea typeface="Calibri"/>
              <a:cs typeface="Segoe UI Semibold" panose="020B0702040204020203" pitchFamily="34" charset="0"/>
            </a:rPr>
            <a:pPr algn="ctr"/>
            <a:t>200</a:t>
          </a:fld>
          <a:endParaRPr lang="en-IN" sz="4400">
            <a:solidFill>
              <a:srgbClr val="BFC3D9"/>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474133</xdr:colOff>
      <xdr:row>12</xdr:row>
      <xdr:rowOff>50800</xdr:rowOff>
    </xdr:from>
    <xdr:to>
      <xdr:col>17</xdr:col>
      <xdr:colOff>29633</xdr:colOff>
      <xdr:row>15</xdr:row>
      <xdr:rowOff>93133</xdr:rowOff>
    </xdr:to>
    <xdr:sp macro="" textlink="'Pivot_Table-3'!$C$11">
      <xdr:nvSpPr>
        <xdr:cNvPr id="41" name="TextBox 40">
          <a:extLst>
            <a:ext uri="{FF2B5EF4-FFF2-40B4-BE49-F238E27FC236}">
              <a16:creationId xmlns:a16="http://schemas.microsoft.com/office/drawing/2014/main" id="{BD7DE2AD-1DB1-45C6-A378-E512303A2042}"/>
            </a:ext>
          </a:extLst>
        </xdr:cNvPr>
        <xdr:cNvSpPr txBox="1"/>
      </xdr:nvSpPr>
      <xdr:spPr>
        <a:xfrm>
          <a:off x="9067800" y="2209800"/>
          <a:ext cx="1397000" cy="582083"/>
        </a:xfrm>
        <a:prstGeom prst="rect">
          <a:avLst/>
        </a:prstGeom>
        <a:solidFill>
          <a:srgbClr val="3A3A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6071B3-E496-48B5-B41D-C1389D2FD621}" type="TxLink">
            <a:rPr lang="en-US" sz="2000" b="0" i="0" u="none" strike="noStrike">
              <a:solidFill>
                <a:srgbClr val="BFC3D9"/>
              </a:solidFill>
              <a:latin typeface="Calibri"/>
              <a:ea typeface="Calibri"/>
              <a:cs typeface="Calibri"/>
            </a:rPr>
            <a:pPr algn="ctr"/>
            <a:t>₹120.02K</a:t>
          </a:fld>
          <a:endParaRPr lang="en-IN" sz="2000">
            <a:solidFill>
              <a:srgbClr val="BFC3D9"/>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313266</xdr:colOff>
      <xdr:row>12</xdr:row>
      <xdr:rowOff>41275</xdr:rowOff>
    </xdr:from>
    <xdr:to>
      <xdr:col>21</xdr:col>
      <xdr:colOff>482599</xdr:colOff>
      <xdr:row>15</xdr:row>
      <xdr:rowOff>83608</xdr:rowOff>
    </xdr:to>
    <xdr:sp macro="" textlink="'Pivot_Table-3'!$C$14">
      <xdr:nvSpPr>
        <xdr:cNvPr id="42" name="TextBox 41">
          <a:extLst>
            <a:ext uri="{FF2B5EF4-FFF2-40B4-BE49-F238E27FC236}">
              <a16:creationId xmlns:a16="http://schemas.microsoft.com/office/drawing/2014/main" id="{F440968E-5148-42EB-BFF1-EF0C5B71679F}"/>
            </a:ext>
          </a:extLst>
        </xdr:cNvPr>
        <xdr:cNvSpPr txBox="1"/>
      </xdr:nvSpPr>
      <xdr:spPr>
        <a:xfrm>
          <a:off x="11976099" y="2200275"/>
          <a:ext cx="1397000" cy="582083"/>
        </a:xfrm>
        <a:prstGeom prst="rect">
          <a:avLst/>
        </a:prstGeom>
        <a:solidFill>
          <a:srgbClr val="3A3A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058F21-3EB5-4AD6-9320-610E02F2A78D}" type="TxLink">
            <a:rPr lang="en-US" sz="2000" b="0" i="0" u="none" strike="noStrike">
              <a:solidFill>
                <a:srgbClr val="BFC3D9"/>
              </a:solidFill>
              <a:latin typeface="Segoe UI Semibold" panose="020B0702040204020203" pitchFamily="34" charset="0"/>
              <a:ea typeface="Calibri"/>
              <a:cs typeface="Segoe UI Semibold" panose="020B0702040204020203" pitchFamily="34" charset="0"/>
            </a:rPr>
            <a:pPr algn="ctr"/>
            <a:t>1102</a:t>
          </a:fld>
          <a:endParaRPr lang="en-IN" sz="2000">
            <a:solidFill>
              <a:srgbClr val="BFC3D9"/>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490008</xdr:colOff>
      <xdr:row>10</xdr:row>
      <xdr:rowOff>92075</xdr:rowOff>
    </xdr:from>
    <xdr:to>
      <xdr:col>17</xdr:col>
      <xdr:colOff>460375</xdr:colOff>
      <xdr:row>12</xdr:row>
      <xdr:rowOff>144992</xdr:rowOff>
    </xdr:to>
    <xdr:sp macro="" textlink="">
      <xdr:nvSpPr>
        <xdr:cNvPr id="43" name="TextBox 42">
          <a:extLst>
            <a:ext uri="{FF2B5EF4-FFF2-40B4-BE49-F238E27FC236}">
              <a16:creationId xmlns:a16="http://schemas.microsoft.com/office/drawing/2014/main" id="{7733FA73-177B-5A96-EE38-460836D5AE7E}"/>
            </a:ext>
          </a:extLst>
        </xdr:cNvPr>
        <xdr:cNvSpPr txBox="1"/>
      </xdr:nvSpPr>
      <xdr:spPr>
        <a:xfrm>
          <a:off x="9083675" y="1891242"/>
          <a:ext cx="1811867" cy="412750"/>
        </a:xfrm>
        <a:prstGeom prst="rect">
          <a:avLst/>
        </a:prstGeom>
        <a:solidFill>
          <a:srgbClr val="3A3A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a:solidFill>
                <a:srgbClr val="BFC3D9"/>
              </a:solidFill>
            </a:rPr>
            <a:t>AVG</a:t>
          </a:r>
          <a:r>
            <a:rPr lang="en-IN" sz="1800" baseline="0">
              <a:solidFill>
                <a:srgbClr val="BFC3D9"/>
              </a:solidFill>
            </a:rPr>
            <a:t> Order Value</a:t>
          </a:r>
          <a:endParaRPr lang="en-IN" sz="1800">
            <a:solidFill>
              <a:srgbClr val="BFC3D9"/>
            </a:solidFill>
          </a:endParaRPr>
        </a:p>
      </xdr:txBody>
    </xdr:sp>
    <xdr:clientData/>
  </xdr:twoCellAnchor>
  <xdr:twoCellAnchor>
    <xdr:from>
      <xdr:col>15</xdr:col>
      <xdr:colOff>83608</xdr:colOff>
      <xdr:row>12</xdr:row>
      <xdr:rowOff>41275</xdr:rowOff>
    </xdr:from>
    <xdr:to>
      <xdr:col>17</xdr:col>
      <xdr:colOff>252941</xdr:colOff>
      <xdr:row>15</xdr:row>
      <xdr:rowOff>83608</xdr:rowOff>
    </xdr:to>
    <xdr:sp macro="" textlink="'Pivot_Table-3'!$C$11">
      <xdr:nvSpPr>
        <xdr:cNvPr id="44" name="TextBox 43">
          <a:extLst>
            <a:ext uri="{FF2B5EF4-FFF2-40B4-BE49-F238E27FC236}">
              <a16:creationId xmlns:a16="http://schemas.microsoft.com/office/drawing/2014/main" id="{C7E7380B-02E1-EE2B-C8EC-4A79E7DE9755}"/>
            </a:ext>
          </a:extLst>
        </xdr:cNvPr>
        <xdr:cNvSpPr txBox="1"/>
      </xdr:nvSpPr>
      <xdr:spPr>
        <a:xfrm>
          <a:off x="9291108" y="2200275"/>
          <a:ext cx="1397000" cy="582083"/>
        </a:xfrm>
        <a:prstGeom prst="rect">
          <a:avLst/>
        </a:prstGeom>
        <a:solidFill>
          <a:srgbClr val="3A3A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6071B3-E496-48B5-B41D-C1389D2FD621}" type="TxLink">
            <a:rPr lang="en-US" sz="2000" b="0" i="0" u="none" strike="noStrike">
              <a:solidFill>
                <a:srgbClr val="BFC3D9"/>
              </a:solidFill>
              <a:latin typeface="Calibri"/>
              <a:ea typeface="Calibri"/>
              <a:cs typeface="Calibri"/>
            </a:rPr>
            <a:pPr algn="ctr"/>
            <a:t>₹120.02K</a:t>
          </a:fld>
          <a:endParaRPr lang="en-IN" sz="2000">
            <a:solidFill>
              <a:srgbClr val="BFC3D9"/>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328083</xdr:colOff>
      <xdr:row>10</xdr:row>
      <xdr:rowOff>81492</xdr:rowOff>
    </xdr:from>
    <xdr:to>
      <xdr:col>9</xdr:col>
      <xdr:colOff>21167</xdr:colOff>
      <xdr:row>12</xdr:row>
      <xdr:rowOff>134409</xdr:rowOff>
    </xdr:to>
    <xdr:sp macro="" textlink="">
      <xdr:nvSpPr>
        <xdr:cNvPr id="45" name="TextBox 44">
          <a:extLst>
            <a:ext uri="{FF2B5EF4-FFF2-40B4-BE49-F238E27FC236}">
              <a16:creationId xmlns:a16="http://schemas.microsoft.com/office/drawing/2014/main" id="{DC288865-2FE3-9F92-A180-9ABDCDDF7B07}"/>
            </a:ext>
          </a:extLst>
        </xdr:cNvPr>
        <xdr:cNvSpPr txBox="1"/>
      </xdr:nvSpPr>
      <xdr:spPr>
        <a:xfrm>
          <a:off x="4011083" y="1880659"/>
          <a:ext cx="1534584" cy="412750"/>
        </a:xfrm>
        <a:prstGeom prst="rect">
          <a:avLst/>
        </a:prstGeom>
        <a:solidFill>
          <a:srgbClr val="3A3A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a:solidFill>
                <a:srgbClr val="BFC3D9"/>
              </a:solidFill>
            </a:rPr>
            <a:t>Total Sales</a:t>
          </a:r>
        </a:p>
      </xdr:txBody>
    </xdr:sp>
    <xdr:clientData/>
  </xdr:twoCellAnchor>
  <xdr:twoCellAnchor>
    <xdr:from>
      <xdr:col>10</xdr:col>
      <xdr:colOff>311150</xdr:colOff>
      <xdr:row>10</xdr:row>
      <xdr:rowOff>81492</xdr:rowOff>
    </xdr:from>
    <xdr:to>
      <xdr:col>13</xdr:col>
      <xdr:colOff>4234</xdr:colOff>
      <xdr:row>12</xdr:row>
      <xdr:rowOff>134409</xdr:rowOff>
    </xdr:to>
    <xdr:sp macro="" textlink="">
      <xdr:nvSpPr>
        <xdr:cNvPr id="46" name="TextBox 45">
          <a:extLst>
            <a:ext uri="{FF2B5EF4-FFF2-40B4-BE49-F238E27FC236}">
              <a16:creationId xmlns:a16="http://schemas.microsoft.com/office/drawing/2014/main" id="{1B7139E3-FAAF-AE9A-FB22-C052AF4D15B0}"/>
            </a:ext>
          </a:extLst>
        </xdr:cNvPr>
        <xdr:cNvSpPr txBox="1"/>
      </xdr:nvSpPr>
      <xdr:spPr>
        <a:xfrm>
          <a:off x="6449483" y="1880659"/>
          <a:ext cx="1534584" cy="412750"/>
        </a:xfrm>
        <a:prstGeom prst="rect">
          <a:avLst/>
        </a:prstGeom>
        <a:solidFill>
          <a:srgbClr val="3A3A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a:solidFill>
                <a:srgbClr val="BFC3D9"/>
              </a:solidFill>
            </a:rPr>
            <a:t>Total Orders</a:t>
          </a:r>
        </a:p>
      </xdr:txBody>
    </xdr:sp>
    <xdr:clientData/>
  </xdr:twoCellAnchor>
  <xdr:twoCellAnchor>
    <xdr:from>
      <xdr:col>14</xdr:col>
      <xdr:colOff>521758</xdr:colOff>
      <xdr:row>10</xdr:row>
      <xdr:rowOff>81492</xdr:rowOff>
    </xdr:from>
    <xdr:to>
      <xdr:col>17</xdr:col>
      <xdr:colOff>492125</xdr:colOff>
      <xdr:row>12</xdr:row>
      <xdr:rowOff>134409</xdr:rowOff>
    </xdr:to>
    <xdr:sp macro="" textlink="">
      <xdr:nvSpPr>
        <xdr:cNvPr id="47" name="TextBox 46">
          <a:extLst>
            <a:ext uri="{FF2B5EF4-FFF2-40B4-BE49-F238E27FC236}">
              <a16:creationId xmlns:a16="http://schemas.microsoft.com/office/drawing/2014/main" id="{2D82F297-5C92-9940-1008-2002896E5B49}"/>
            </a:ext>
          </a:extLst>
        </xdr:cNvPr>
        <xdr:cNvSpPr txBox="1"/>
      </xdr:nvSpPr>
      <xdr:spPr>
        <a:xfrm>
          <a:off x="9115425" y="1880659"/>
          <a:ext cx="1811867" cy="412750"/>
        </a:xfrm>
        <a:prstGeom prst="rect">
          <a:avLst/>
        </a:prstGeom>
        <a:solidFill>
          <a:srgbClr val="3A3A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a:solidFill>
                <a:srgbClr val="BFC3D9"/>
              </a:solidFill>
            </a:rPr>
            <a:t>AVG</a:t>
          </a:r>
          <a:r>
            <a:rPr lang="en-IN" sz="1800" baseline="0">
              <a:solidFill>
                <a:srgbClr val="BFC3D9"/>
              </a:solidFill>
            </a:rPr>
            <a:t> Order Value</a:t>
          </a:r>
          <a:endParaRPr lang="en-IN" sz="1800">
            <a:solidFill>
              <a:srgbClr val="BFC3D9"/>
            </a:solidFill>
          </a:endParaRPr>
        </a:p>
      </xdr:txBody>
    </xdr:sp>
    <xdr:clientData/>
  </xdr:twoCellAnchor>
  <xdr:twoCellAnchor editAs="oneCell">
    <xdr:from>
      <xdr:col>8</xdr:col>
      <xdr:colOff>296333</xdr:colOff>
      <xdr:row>10</xdr:row>
      <xdr:rowOff>148165</xdr:rowOff>
    </xdr:from>
    <xdr:to>
      <xdr:col>9</xdr:col>
      <xdr:colOff>444500</xdr:colOff>
      <xdr:row>15</xdr:row>
      <xdr:rowOff>88899</xdr:rowOff>
    </xdr:to>
    <xdr:pic>
      <xdr:nvPicPr>
        <xdr:cNvPr id="49" name="Graphic 48" descr="Bar graph with upward trend with solid fill">
          <a:extLst>
            <a:ext uri="{FF2B5EF4-FFF2-40B4-BE49-F238E27FC236}">
              <a16:creationId xmlns:a16="http://schemas.microsoft.com/office/drawing/2014/main" id="{995D96DA-7EA4-71C4-C18F-C56C3C9D1C3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207000" y="1947332"/>
          <a:ext cx="762000" cy="840317"/>
        </a:xfrm>
        <a:prstGeom prst="rect">
          <a:avLst/>
        </a:prstGeom>
      </xdr:spPr>
    </xdr:pic>
    <xdr:clientData/>
  </xdr:twoCellAnchor>
  <xdr:twoCellAnchor editAs="oneCell">
    <xdr:from>
      <xdr:col>12</xdr:col>
      <xdr:colOff>497417</xdr:colOff>
      <xdr:row>10</xdr:row>
      <xdr:rowOff>179915</xdr:rowOff>
    </xdr:from>
    <xdr:to>
      <xdr:col>14</xdr:col>
      <xdr:colOff>84666</xdr:colOff>
      <xdr:row>15</xdr:row>
      <xdr:rowOff>88899</xdr:rowOff>
    </xdr:to>
    <xdr:pic>
      <xdr:nvPicPr>
        <xdr:cNvPr id="51" name="Graphic 50" descr="Shopping cart with solid fill">
          <a:extLst>
            <a:ext uri="{FF2B5EF4-FFF2-40B4-BE49-F238E27FC236}">
              <a16:creationId xmlns:a16="http://schemas.microsoft.com/office/drawing/2014/main" id="{8B4FEFDA-D124-5706-B95E-70AF7F5C501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863417" y="1979082"/>
          <a:ext cx="814916" cy="808567"/>
        </a:xfrm>
        <a:prstGeom prst="rect">
          <a:avLst/>
        </a:prstGeom>
      </xdr:spPr>
    </xdr:pic>
    <xdr:clientData/>
  </xdr:twoCellAnchor>
  <xdr:twoCellAnchor editAs="oneCell">
    <xdr:from>
      <xdr:col>21</xdr:col>
      <xdr:colOff>211667</xdr:colOff>
      <xdr:row>11</xdr:row>
      <xdr:rowOff>148167</xdr:rowOff>
    </xdr:from>
    <xdr:to>
      <xdr:col>22</xdr:col>
      <xdr:colOff>512234</xdr:colOff>
      <xdr:row>16</xdr:row>
      <xdr:rowOff>14817</xdr:rowOff>
    </xdr:to>
    <xdr:pic>
      <xdr:nvPicPr>
        <xdr:cNvPr id="59" name="Graphic 58" descr="Books with solid fill">
          <a:extLst>
            <a:ext uri="{FF2B5EF4-FFF2-40B4-BE49-F238E27FC236}">
              <a16:creationId xmlns:a16="http://schemas.microsoft.com/office/drawing/2014/main" id="{937EF00B-EBA6-A133-A4C4-E7D02ADED1A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102167" y="2127250"/>
          <a:ext cx="914400" cy="766234"/>
        </a:xfrm>
        <a:prstGeom prst="rect">
          <a:avLst/>
        </a:prstGeom>
      </xdr:spPr>
    </xdr:pic>
    <xdr:clientData/>
  </xdr:twoCellAnchor>
  <xdr:twoCellAnchor editAs="oneCell">
    <xdr:from>
      <xdr:col>17</xdr:col>
      <xdr:colOff>264582</xdr:colOff>
      <xdr:row>10</xdr:row>
      <xdr:rowOff>105832</xdr:rowOff>
    </xdr:from>
    <xdr:to>
      <xdr:col>18</xdr:col>
      <xdr:colOff>353483</xdr:colOff>
      <xdr:row>15</xdr:row>
      <xdr:rowOff>120649</xdr:rowOff>
    </xdr:to>
    <xdr:pic>
      <xdr:nvPicPr>
        <xdr:cNvPr id="61" name="Graphic 60" descr="Bar chart with solid fill">
          <a:extLst>
            <a:ext uri="{FF2B5EF4-FFF2-40B4-BE49-F238E27FC236}">
              <a16:creationId xmlns:a16="http://schemas.microsoft.com/office/drawing/2014/main" id="{5279EC72-EFB1-36C0-EBEB-9677AB0E0A0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699749" y="1904999"/>
          <a:ext cx="702734" cy="914400"/>
        </a:xfrm>
        <a:prstGeom prst="rect">
          <a:avLst/>
        </a:prstGeom>
      </xdr:spPr>
    </xdr:pic>
    <xdr:clientData/>
  </xdr:twoCellAnchor>
  <xdr:twoCellAnchor editAs="oneCell">
    <xdr:from>
      <xdr:col>8</xdr:col>
      <xdr:colOff>328083</xdr:colOff>
      <xdr:row>10</xdr:row>
      <xdr:rowOff>148165</xdr:rowOff>
    </xdr:from>
    <xdr:to>
      <xdr:col>9</xdr:col>
      <xdr:colOff>476250</xdr:colOff>
      <xdr:row>15</xdr:row>
      <xdr:rowOff>88899</xdr:rowOff>
    </xdr:to>
    <xdr:pic>
      <xdr:nvPicPr>
        <xdr:cNvPr id="62" name="Graphic 61" descr="Bar graph with upward trend with solid fill">
          <a:extLst>
            <a:ext uri="{FF2B5EF4-FFF2-40B4-BE49-F238E27FC236}">
              <a16:creationId xmlns:a16="http://schemas.microsoft.com/office/drawing/2014/main" id="{90E9851E-ABEF-5359-1805-C480E1D1023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238750" y="1947332"/>
          <a:ext cx="762000" cy="840317"/>
        </a:xfrm>
        <a:prstGeom prst="rect">
          <a:avLst/>
        </a:prstGeom>
      </xdr:spPr>
    </xdr:pic>
    <xdr:clientData/>
  </xdr:twoCellAnchor>
  <xdr:twoCellAnchor editAs="oneCell">
    <xdr:from>
      <xdr:col>12</xdr:col>
      <xdr:colOff>529167</xdr:colOff>
      <xdr:row>10</xdr:row>
      <xdr:rowOff>179915</xdr:rowOff>
    </xdr:from>
    <xdr:to>
      <xdr:col>14</xdr:col>
      <xdr:colOff>116416</xdr:colOff>
      <xdr:row>15</xdr:row>
      <xdr:rowOff>88899</xdr:rowOff>
    </xdr:to>
    <xdr:pic>
      <xdr:nvPicPr>
        <xdr:cNvPr id="63" name="Graphic 62" descr="Shopping cart with solid fill">
          <a:extLst>
            <a:ext uri="{FF2B5EF4-FFF2-40B4-BE49-F238E27FC236}">
              <a16:creationId xmlns:a16="http://schemas.microsoft.com/office/drawing/2014/main" id="{FD7F7BDD-7EF4-3B18-4972-32D74E6A078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895167" y="1979082"/>
          <a:ext cx="814916" cy="808567"/>
        </a:xfrm>
        <a:prstGeom prst="rect">
          <a:avLst/>
        </a:prstGeom>
      </xdr:spPr>
    </xdr:pic>
    <xdr:clientData/>
  </xdr:twoCellAnchor>
  <xdr:twoCellAnchor>
    <xdr:from>
      <xdr:col>2</xdr:col>
      <xdr:colOff>529167</xdr:colOff>
      <xdr:row>4</xdr:row>
      <xdr:rowOff>158749</xdr:rowOff>
    </xdr:from>
    <xdr:to>
      <xdr:col>5</xdr:col>
      <xdr:colOff>359834</xdr:colOff>
      <xdr:row>10</xdr:row>
      <xdr:rowOff>10582</xdr:rowOff>
    </xdr:to>
    <xdr:sp macro="" textlink="">
      <xdr:nvSpPr>
        <xdr:cNvPr id="64" name="TextBox 63">
          <a:extLst>
            <a:ext uri="{FF2B5EF4-FFF2-40B4-BE49-F238E27FC236}">
              <a16:creationId xmlns:a16="http://schemas.microsoft.com/office/drawing/2014/main" id="{A50C922F-8879-2C31-94E4-9348FC0CA2F8}"/>
            </a:ext>
          </a:extLst>
        </xdr:cNvPr>
        <xdr:cNvSpPr txBox="1"/>
      </xdr:nvSpPr>
      <xdr:spPr>
        <a:xfrm>
          <a:off x="1756834" y="878416"/>
          <a:ext cx="1672167" cy="931333"/>
        </a:xfrm>
        <a:prstGeom prst="rect">
          <a:avLst/>
        </a:prstGeom>
        <a:solidFill>
          <a:srgbClr val="3A3A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solidFill>
                <a:srgbClr val="BFC3D9"/>
              </a:solidFill>
            </a:rPr>
            <a:t>FILTER</a:t>
          </a:r>
        </a:p>
      </xdr:txBody>
    </xdr:sp>
    <xdr:clientData/>
  </xdr:twoCellAnchor>
  <xdr:twoCellAnchor editAs="oneCell">
    <xdr:from>
      <xdr:col>2</xdr:col>
      <xdr:colOff>465666</xdr:colOff>
      <xdr:row>10</xdr:row>
      <xdr:rowOff>63499</xdr:rowOff>
    </xdr:from>
    <xdr:to>
      <xdr:col>5</xdr:col>
      <xdr:colOff>452966</xdr:colOff>
      <xdr:row>17</xdr:row>
      <xdr:rowOff>0</xdr:rowOff>
    </xdr:to>
    <mc:AlternateContent xmlns:mc="http://schemas.openxmlformats.org/markup-compatibility/2006" xmlns:a14="http://schemas.microsoft.com/office/drawing/2010/main">
      <mc:Choice Requires="a14">
        <xdr:graphicFrame macro="">
          <xdr:nvGraphicFramePr>
            <xdr:cNvPr id="68" name="Region 1">
              <a:extLst>
                <a:ext uri="{FF2B5EF4-FFF2-40B4-BE49-F238E27FC236}">
                  <a16:creationId xmlns:a16="http://schemas.microsoft.com/office/drawing/2014/main" id="{87B339B7-FCE4-4F85-AA85-B91EAD7F264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93333" y="1862666"/>
              <a:ext cx="1828800" cy="1195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444500</xdr:colOff>
      <xdr:row>17</xdr:row>
      <xdr:rowOff>179916</xdr:rowOff>
    </xdr:from>
    <xdr:to>
      <xdr:col>5</xdr:col>
      <xdr:colOff>431800</xdr:colOff>
      <xdr:row>26</xdr:row>
      <xdr:rowOff>84666</xdr:rowOff>
    </xdr:to>
    <mc:AlternateContent xmlns:mc="http://schemas.openxmlformats.org/markup-compatibility/2006" xmlns:a14="http://schemas.microsoft.com/office/drawing/2010/main">
      <mc:Choice Requires="a14">
        <xdr:graphicFrame macro="">
          <xdr:nvGraphicFramePr>
            <xdr:cNvPr id="69" name="Category 3">
              <a:extLst>
                <a:ext uri="{FF2B5EF4-FFF2-40B4-BE49-F238E27FC236}">
                  <a16:creationId xmlns:a16="http://schemas.microsoft.com/office/drawing/2014/main" id="{C4CEC5CB-03EC-4748-A61F-03ECCB298272}"/>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672167" y="3238499"/>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455083</xdr:colOff>
      <xdr:row>27</xdr:row>
      <xdr:rowOff>105833</xdr:rowOff>
    </xdr:from>
    <xdr:to>
      <xdr:col>5</xdr:col>
      <xdr:colOff>442383</xdr:colOff>
      <xdr:row>41</xdr:row>
      <xdr:rowOff>53975</xdr:rowOff>
    </xdr:to>
    <mc:AlternateContent xmlns:mc="http://schemas.openxmlformats.org/markup-compatibility/2006" xmlns:a14="http://schemas.microsoft.com/office/drawing/2010/main">
      <mc:Choice Requires="a14">
        <xdr:graphicFrame macro="">
          <xdr:nvGraphicFramePr>
            <xdr:cNvPr id="70" name="Salesperson 3">
              <a:extLst>
                <a:ext uri="{FF2B5EF4-FFF2-40B4-BE49-F238E27FC236}">
                  <a16:creationId xmlns:a16="http://schemas.microsoft.com/office/drawing/2014/main" id="{1F523AA6-2CF7-4390-8BB5-DD6D61B65333}"/>
                </a:ext>
              </a:extLst>
            </xdr:cNvPr>
            <xdr:cNvGraphicFramePr/>
          </xdr:nvGraphicFramePr>
          <xdr:xfrm>
            <a:off x="0" y="0"/>
            <a:ext cx="0" cy="0"/>
          </xdr:xfrm>
          <a:graphic>
            <a:graphicData uri="http://schemas.microsoft.com/office/drawing/2010/slicer">
              <sle:slicer xmlns:sle="http://schemas.microsoft.com/office/drawing/2010/slicer" name="Salesperson 3"/>
            </a:graphicData>
          </a:graphic>
        </xdr:graphicFrame>
      </mc:Choice>
      <mc:Fallback xmlns="">
        <xdr:sp macro="" textlink="">
          <xdr:nvSpPr>
            <xdr:cNvPr id="0" name=""/>
            <xdr:cNvSpPr>
              <a:spLocks noTextEdit="1"/>
            </xdr:cNvSpPr>
          </xdr:nvSpPr>
          <xdr:spPr>
            <a:xfrm>
              <a:off x="1682750" y="496358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396240</xdr:colOff>
      <xdr:row>1</xdr:row>
      <xdr:rowOff>22860</xdr:rowOff>
    </xdr:from>
    <xdr:to>
      <xdr:col>17</xdr:col>
      <xdr:colOff>434340</xdr:colOff>
      <xdr:row>26</xdr:row>
      <xdr:rowOff>144780</xdr:rowOff>
    </xdr:to>
    <xdr:sp macro="" textlink="">
      <xdr:nvSpPr>
        <xdr:cNvPr id="2" name="Flowchart: Alternate Process 1">
          <a:extLst>
            <a:ext uri="{FF2B5EF4-FFF2-40B4-BE49-F238E27FC236}">
              <a16:creationId xmlns:a16="http://schemas.microsoft.com/office/drawing/2014/main" id="{DEEECCDF-179D-4E32-2EF7-99F2CF371AC6}"/>
            </a:ext>
          </a:extLst>
        </xdr:cNvPr>
        <xdr:cNvSpPr/>
      </xdr:nvSpPr>
      <xdr:spPr>
        <a:xfrm>
          <a:off x="1615440" y="205740"/>
          <a:ext cx="9182100" cy="4693920"/>
        </a:xfrm>
        <a:prstGeom prst="flowChartAlternateProcess">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7620</xdr:colOff>
      <xdr:row>3</xdr:row>
      <xdr:rowOff>179070</xdr:rowOff>
    </xdr:from>
    <xdr:to>
      <xdr:col>5</xdr:col>
      <xdr:colOff>144780</xdr:colOff>
      <xdr:row>25</xdr:row>
      <xdr:rowOff>64770</xdr:rowOff>
    </xdr:to>
    <xdr:sp macro="" textlink="">
      <xdr:nvSpPr>
        <xdr:cNvPr id="4" name="Rectangle: Rounded Corners 3">
          <a:extLst>
            <a:ext uri="{FF2B5EF4-FFF2-40B4-BE49-F238E27FC236}">
              <a16:creationId xmlns:a16="http://schemas.microsoft.com/office/drawing/2014/main" id="{E2DF1EAF-09DB-22F2-ED38-3F8C1CD8A6C4}"/>
            </a:ext>
          </a:extLst>
        </xdr:cNvPr>
        <xdr:cNvSpPr/>
      </xdr:nvSpPr>
      <xdr:spPr>
        <a:xfrm>
          <a:off x="1836420" y="727710"/>
          <a:ext cx="1356360" cy="3909060"/>
        </a:xfrm>
        <a:prstGeom prst="roundRect">
          <a:avLst>
            <a:gd name="adj" fmla="val 2060"/>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38100</xdr:colOff>
      <xdr:row>4</xdr:row>
      <xdr:rowOff>121920</xdr:rowOff>
    </xdr:from>
    <xdr:to>
      <xdr:col>5</xdr:col>
      <xdr:colOff>121920</xdr:colOff>
      <xdr:row>9</xdr:row>
      <xdr:rowOff>114300</xdr:rowOff>
    </xdr:to>
    <mc:AlternateContent xmlns:mc="http://schemas.openxmlformats.org/markup-compatibility/2006" xmlns:a14="http://schemas.microsoft.com/office/drawing/2010/main">
      <mc:Choice Requires="a14">
        <xdr:graphicFrame macro="">
          <xdr:nvGraphicFramePr>
            <xdr:cNvPr id="5" name="Customer Type 1">
              <a:extLst>
                <a:ext uri="{FF2B5EF4-FFF2-40B4-BE49-F238E27FC236}">
                  <a16:creationId xmlns:a16="http://schemas.microsoft.com/office/drawing/2014/main" id="{39A27B30-9270-48C7-B095-B6D74D8CC050}"/>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866900" y="853440"/>
              <a:ext cx="130302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68580</xdr:colOff>
      <xdr:row>9</xdr:row>
      <xdr:rowOff>167640</xdr:rowOff>
    </xdr:from>
    <xdr:to>
      <xdr:col>5</xdr:col>
      <xdr:colOff>121920</xdr:colOff>
      <xdr:row>17</xdr:row>
      <xdr:rowOff>152400</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69759DFE-E6A8-47E7-BE04-CDF71909997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97380" y="1813560"/>
              <a:ext cx="127254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68580</xdr:colOff>
      <xdr:row>17</xdr:row>
      <xdr:rowOff>167641</xdr:rowOff>
    </xdr:from>
    <xdr:to>
      <xdr:col>5</xdr:col>
      <xdr:colOff>114300</xdr:colOff>
      <xdr:row>24</xdr:row>
      <xdr:rowOff>99061</xdr:rowOff>
    </xdr:to>
    <mc:AlternateContent xmlns:mc="http://schemas.openxmlformats.org/markup-compatibility/2006" xmlns:a14="http://schemas.microsoft.com/office/drawing/2010/main">
      <mc:Choice Requires="a14">
        <xdr:graphicFrame macro="">
          <xdr:nvGraphicFramePr>
            <xdr:cNvPr id="7" name="Salesperson 1">
              <a:extLst>
                <a:ext uri="{FF2B5EF4-FFF2-40B4-BE49-F238E27FC236}">
                  <a16:creationId xmlns:a16="http://schemas.microsoft.com/office/drawing/2014/main" id="{FCAAF41A-9832-4152-8173-B8478DE4E595}"/>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897380" y="3276601"/>
              <a:ext cx="126492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251460</xdr:colOff>
      <xdr:row>4</xdr:row>
      <xdr:rowOff>0</xdr:rowOff>
    </xdr:from>
    <xdr:to>
      <xdr:col>17</xdr:col>
      <xdr:colOff>83820</xdr:colOff>
      <xdr:row>25</xdr:row>
      <xdr:rowOff>60960</xdr:rowOff>
    </xdr:to>
    <xdr:sp macro="" textlink="">
      <xdr:nvSpPr>
        <xdr:cNvPr id="8" name="Rectangle 7">
          <a:extLst>
            <a:ext uri="{FF2B5EF4-FFF2-40B4-BE49-F238E27FC236}">
              <a16:creationId xmlns:a16="http://schemas.microsoft.com/office/drawing/2014/main" id="{6DC49306-2F35-6D32-9029-B2488596688F}"/>
            </a:ext>
          </a:extLst>
        </xdr:cNvPr>
        <xdr:cNvSpPr/>
      </xdr:nvSpPr>
      <xdr:spPr>
        <a:xfrm>
          <a:off x="3299460" y="731520"/>
          <a:ext cx="7147560" cy="3901440"/>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312420</xdr:colOff>
      <xdr:row>4</xdr:row>
      <xdr:rowOff>49530</xdr:rowOff>
    </xdr:from>
    <xdr:to>
      <xdr:col>17</xdr:col>
      <xdr:colOff>38100</xdr:colOff>
      <xdr:row>25</xdr:row>
      <xdr:rowOff>11430</xdr:rowOff>
    </xdr:to>
    <xdr:sp macro="" textlink="">
      <xdr:nvSpPr>
        <xdr:cNvPr id="10" name="Rectangle 9">
          <a:extLst>
            <a:ext uri="{FF2B5EF4-FFF2-40B4-BE49-F238E27FC236}">
              <a16:creationId xmlns:a16="http://schemas.microsoft.com/office/drawing/2014/main" id="{04BFBFB2-D079-72E4-156E-2FF7100986BC}"/>
            </a:ext>
          </a:extLst>
        </xdr:cNvPr>
        <xdr:cNvSpPr/>
      </xdr:nvSpPr>
      <xdr:spPr>
        <a:xfrm>
          <a:off x="3360420" y="781050"/>
          <a:ext cx="7040880" cy="38023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396240</xdr:colOff>
      <xdr:row>5</xdr:row>
      <xdr:rowOff>162039</xdr:rowOff>
    </xdr:from>
    <xdr:to>
      <xdr:col>11</xdr:col>
      <xdr:colOff>76200</xdr:colOff>
      <xdr:row>24</xdr:row>
      <xdr:rowOff>66562</xdr:rowOff>
    </xdr:to>
    <xdr:graphicFrame macro="">
      <xdr:nvGraphicFramePr>
        <xdr:cNvPr id="12" name="Chart 11">
          <a:extLst>
            <a:ext uri="{FF2B5EF4-FFF2-40B4-BE49-F238E27FC236}">
              <a16:creationId xmlns:a16="http://schemas.microsoft.com/office/drawing/2014/main" id="{C8EFF5F1-F8CF-4BF8-93AF-50D5F068A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152400</xdr:colOff>
      <xdr:row>4</xdr:row>
      <xdr:rowOff>144780</xdr:rowOff>
    </xdr:from>
    <xdr:to>
      <xdr:col>11</xdr:col>
      <xdr:colOff>152400</xdr:colOff>
      <xdr:row>24</xdr:row>
      <xdr:rowOff>38100</xdr:rowOff>
    </xdr:to>
    <xdr:cxnSp macro="">
      <xdr:nvCxnSpPr>
        <xdr:cNvPr id="15" name="Straight Connector 14">
          <a:extLst>
            <a:ext uri="{FF2B5EF4-FFF2-40B4-BE49-F238E27FC236}">
              <a16:creationId xmlns:a16="http://schemas.microsoft.com/office/drawing/2014/main" id="{6D498022-62C8-84C9-9FDA-5C67851A26A6}"/>
            </a:ext>
          </a:extLst>
        </xdr:cNvPr>
        <xdr:cNvCxnSpPr/>
      </xdr:nvCxnSpPr>
      <xdr:spPr>
        <a:xfrm>
          <a:off x="6858000" y="876300"/>
          <a:ext cx="0" cy="3550920"/>
        </a:xfrm>
        <a:prstGeom prst="line">
          <a:avLst/>
        </a:prstGeom>
        <a:ln>
          <a:solidFill>
            <a:schemeClr val="accent5">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xdr:row>
      <xdr:rowOff>91440</xdr:rowOff>
    </xdr:from>
    <xdr:to>
      <xdr:col>10</xdr:col>
      <xdr:colOff>556260</xdr:colOff>
      <xdr:row>6</xdr:row>
      <xdr:rowOff>76200</xdr:rowOff>
    </xdr:to>
    <xdr:sp macro="" textlink="">
      <xdr:nvSpPr>
        <xdr:cNvPr id="20" name="TextBox 19">
          <a:extLst>
            <a:ext uri="{FF2B5EF4-FFF2-40B4-BE49-F238E27FC236}">
              <a16:creationId xmlns:a16="http://schemas.microsoft.com/office/drawing/2014/main" id="{88DA0B79-5342-7809-BAEE-1DCE16C84F9B}"/>
            </a:ext>
          </a:extLst>
        </xdr:cNvPr>
        <xdr:cNvSpPr txBox="1"/>
      </xdr:nvSpPr>
      <xdr:spPr>
        <a:xfrm>
          <a:off x="3657600" y="822960"/>
          <a:ext cx="2994660" cy="350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Semibold" panose="020B0702040204020203" pitchFamily="34" charset="0"/>
              <a:cs typeface="Segoe UI Semibold" panose="020B0702040204020203" pitchFamily="34" charset="0"/>
            </a:rPr>
            <a:t>States</a:t>
          </a:r>
          <a:r>
            <a:rPr lang="en-IN" sz="1400" baseline="0">
              <a:latin typeface="Segoe UI Semibold" panose="020B0702040204020203" pitchFamily="34" charset="0"/>
              <a:cs typeface="Segoe UI Semibold" panose="020B0702040204020203" pitchFamily="34" charset="0"/>
            </a:rPr>
            <a:t> Wise Sales</a:t>
          </a:r>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11</xdr:col>
      <xdr:colOff>563880</xdr:colOff>
      <xdr:row>4</xdr:row>
      <xdr:rowOff>83820</xdr:rowOff>
    </xdr:from>
    <xdr:to>
      <xdr:col>16</xdr:col>
      <xdr:colOff>510540</xdr:colOff>
      <xdr:row>6</xdr:row>
      <xdr:rowOff>7620</xdr:rowOff>
    </xdr:to>
    <xdr:sp macro="" textlink="">
      <xdr:nvSpPr>
        <xdr:cNvPr id="21" name="TextBox 20">
          <a:extLst>
            <a:ext uri="{FF2B5EF4-FFF2-40B4-BE49-F238E27FC236}">
              <a16:creationId xmlns:a16="http://schemas.microsoft.com/office/drawing/2014/main" id="{FE306592-5BC3-4CFF-BBA7-E552CE4A6F92}"/>
            </a:ext>
          </a:extLst>
        </xdr:cNvPr>
        <xdr:cNvSpPr txBox="1"/>
      </xdr:nvSpPr>
      <xdr:spPr>
        <a:xfrm>
          <a:off x="7269480" y="815340"/>
          <a:ext cx="299466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Semibold" panose="020B0702040204020203" pitchFamily="34" charset="0"/>
              <a:cs typeface="Segoe UI Semibold" panose="020B0702040204020203" pitchFamily="34" charset="0"/>
            </a:rPr>
            <a:t>Discount</a:t>
          </a:r>
          <a:r>
            <a:rPr lang="en-IN" sz="1400" baseline="0">
              <a:latin typeface="Segoe UI Semibold" panose="020B0702040204020203" pitchFamily="34" charset="0"/>
              <a:cs typeface="Segoe UI Semibold" panose="020B0702040204020203" pitchFamily="34" charset="0"/>
            </a:rPr>
            <a:t> % VS Sales Correlation</a:t>
          </a:r>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3</xdr:col>
      <xdr:colOff>274320</xdr:colOff>
      <xdr:row>2</xdr:row>
      <xdr:rowOff>0</xdr:rowOff>
    </xdr:from>
    <xdr:to>
      <xdr:col>16</xdr:col>
      <xdr:colOff>342900</xdr:colOff>
      <xdr:row>3</xdr:row>
      <xdr:rowOff>114300</xdr:rowOff>
    </xdr:to>
    <xdr:sp macro="" textlink="">
      <xdr:nvSpPr>
        <xdr:cNvPr id="23" name="TextBox 22">
          <a:extLst>
            <a:ext uri="{FF2B5EF4-FFF2-40B4-BE49-F238E27FC236}">
              <a16:creationId xmlns:a16="http://schemas.microsoft.com/office/drawing/2014/main" id="{4CCA8509-68D8-72FF-B1B6-443B705DB9A8}"/>
            </a:ext>
          </a:extLst>
        </xdr:cNvPr>
        <xdr:cNvSpPr txBox="1"/>
      </xdr:nvSpPr>
      <xdr:spPr>
        <a:xfrm>
          <a:off x="2103120" y="365760"/>
          <a:ext cx="7993380" cy="29718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Semibold" panose="020B0702040204020203" pitchFamily="34" charset="0"/>
              <a:cs typeface="Segoe UI Semibold" panose="020B0702040204020203" pitchFamily="34" charset="0"/>
            </a:rPr>
            <a:t>Dashboard</a:t>
          </a:r>
          <a:r>
            <a:rPr lang="en-IN" sz="1400" baseline="0">
              <a:latin typeface="Segoe UI Semibold" panose="020B0702040204020203" pitchFamily="34" charset="0"/>
              <a:cs typeface="Segoe UI Semibold" panose="020B0702040204020203" pitchFamily="34" charset="0"/>
            </a:rPr>
            <a:t> Summarizing Sales Accross Regions,States And Categories</a:t>
          </a:r>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11</xdr:col>
      <xdr:colOff>274320</xdr:colOff>
      <xdr:row>6</xdr:row>
      <xdr:rowOff>133350</xdr:rowOff>
    </xdr:from>
    <xdr:to>
      <xdr:col>16</xdr:col>
      <xdr:colOff>594360</xdr:colOff>
      <xdr:row>24</xdr:row>
      <xdr:rowOff>38100</xdr:rowOff>
    </xdr:to>
    <xdr:graphicFrame macro="">
      <xdr:nvGraphicFramePr>
        <xdr:cNvPr id="3" name="Chart 2">
          <a:extLst>
            <a:ext uri="{FF2B5EF4-FFF2-40B4-BE49-F238E27FC236}">
              <a16:creationId xmlns:a16="http://schemas.microsoft.com/office/drawing/2014/main" id="{7386DD6A-9D0A-4D29-A4EF-E68F4F3AF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IT" refreshedDate="46058.035410648146" createdVersion="8" refreshedVersion="8" minRefreshableVersion="3" recordCount="200" xr:uid="{9888A70D-9C8D-44D5-A067-338FD91E800C}">
  <cacheSource type="worksheet">
    <worksheetSource name="Table1"/>
  </cacheSource>
  <cacheFields count="16">
    <cacheField name="OrderID" numFmtId="0">
      <sharedItems containsSemiMixedTypes="0" containsString="0" containsNumber="1" containsInteger="1" minValue="1001" maxValue="1200" count="2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sharedItems>
    </cacheField>
    <cacheField name="Date" numFmtId="14">
      <sharedItems count="154">
        <s v="2023-04-09"/>
        <s v="2023-06-02"/>
        <s v="2023-12-05"/>
        <s v="2023-08-06"/>
        <s v="2023-08-22"/>
        <s v="2023-08-01"/>
        <s v="2023-07-13"/>
        <s v="2023-12-27"/>
        <s v="2023-06-10"/>
        <s v="2023-01-07"/>
        <s v="2023-02-19"/>
        <s v="2023-12-10"/>
        <s v="2023-06-09"/>
        <s v="2023-04-22"/>
        <s v="2023-07-19"/>
        <s v="2023-07-09"/>
        <s v="2023-07-26"/>
        <s v="2023-09-22"/>
        <s v="2023-09-30"/>
        <s v="2023-04-07"/>
        <s v="2023-03-16"/>
        <s v="2023-08-16"/>
        <s v="2023-02-11"/>
        <s v="2023-08-25"/>
        <s v="2023-05-17"/>
        <s v="2023-12-23"/>
        <s v="2023-11-10"/>
        <s v="2023-04-12"/>
        <s v="2023-09-07"/>
        <s v="2023-03-14"/>
        <s v="2023-05-12"/>
        <s v="2023-05-13"/>
        <s v="2023-07-24"/>
        <s v="2023-01-02"/>
        <s v="2023-02-14"/>
        <s v="2023-05-28"/>
        <s v="2023-05-06"/>
        <s v="2023-07-30"/>
        <s v="2023-05-15"/>
        <s v="2023-07-10"/>
        <s v="2023-02-17"/>
        <s v="2023-07-03"/>
        <s v="2023-03-11"/>
        <s v="2023-05-03"/>
        <s v="2023-03-26"/>
        <s v="2023-12-04"/>
        <s v="2023-01-26"/>
        <s v="2023-08-24"/>
        <s v="2023-06-23"/>
        <s v="2023-02-12"/>
        <s v="2023-04-10"/>
        <s v="2023-07-28"/>
        <s v="2023-10-05"/>
        <s v="2023-01-15"/>
        <s v="2023-06-19"/>
        <s v="2023-11-23"/>
        <s v="2023-09-23"/>
        <s v="2023-12-18"/>
        <s v="2023-08-08"/>
        <s v="2023-07-05"/>
        <s v="2023-05-18"/>
        <s v="2023-06-07"/>
        <s v="2023-06-05"/>
        <s v="2023-05-26"/>
        <s v="2023-10-20"/>
        <s v="2023-11-05"/>
        <s v="2023-08-11"/>
        <s v="2023-04-30"/>
        <s v="2023-05-30"/>
        <s v="2023-12-12"/>
        <s v="2023-06-27"/>
        <s v="2023-01-05"/>
        <s v="2023-07-08"/>
        <s v="2023-01-28"/>
        <s v="2023-01-30"/>
        <s v="2023-06-15"/>
        <s v="2023-10-24"/>
        <s v="2023-10-30"/>
        <s v="2023-12-31"/>
        <s v="2023-08-05"/>
        <s v="2023-12-19"/>
        <s v="2023-07-01"/>
        <s v="2023-03-28"/>
        <s v="2023-10-01"/>
        <s v="2023-02-05"/>
        <s v="2023-09-11"/>
        <s v="2023-01-31"/>
        <s v="2023-06-26"/>
        <s v="2023-11-26"/>
        <s v="2023-02-01"/>
        <s v="2023-10-29"/>
        <s v="2023-12-29"/>
        <s v="2023-03-10"/>
        <s v="2023-12-22"/>
        <s v="2023-01-14"/>
        <s v="2023-02-04"/>
        <s v="2023-01-09"/>
        <s v="2023-08-30"/>
        <s v="2023-01-24"/>
        <s v="2023-07-17"/>
        <s v="2023-12-09"/>
        <s v="2023-09-27"/>
        <s v="2023-09-05"/>
        <s v="2023-12-28"/>
        <s v="2023-07-06"/>
        <s v="2023-06-22"/>
        <s v="2023-02-16"/>
        <s v="2023-06-14"/>
        <s v="2023-10-12"/>
        <s v="2023-09-16"/>
        <s v="2023-09-14"/>
        <s v="2023-05-20"/>
        <s v="2023-10-19"/>
        <s v="2023-09-09"/>
        <s v="2023-03-03"/>
        <s v="2023-10-26"/>
        <s v="2024-01-01"/>
        <s v="2023-01-29"/>
        <s v="2023-02-09"/>
        <s v="2023-06-18"/>
        <s v="2023-11-30"/>
        <s v="2023-04-06"/>
        <s v="2023-01-12"/>
        <s v="2023-06-25"/>
        <s v="2023-06-04"/>
        <s v="2023-07-31"/>
        <s v="2023-11-29"/>
        <s v="2023-05-27"/>
        <s v="2023-01-25"/>
        <s v="2023-03-08"/>
        <s v="2023-11-13"/>
        <s v="2023-01-01"/>
        <s v="2023-10-11"/>
        <s v="2023-07-16"/>
        <s v="2023-03-13"/>
        <s v="2023-09-20"/>
        <s v="2023-09-17"/>
        <s v="2023-01-03"/>
        <s v="2023-10-03"/>
        <s v="2023-12-15"/>
        <s v="2023-03-23"/>
        <s v="2023-05-04"/>
        <s v="2023-09-19"/>
        <s v="2023-05-19"/>
        <s v="2023-03-01"/>
        <s v="2023-12-14"/>
        <s v="2023-02-08"/>
        <s v="2023-07-04"/>
        <s v="2023-06-12"/>
        <s v="2023-10-09"/>
        <s v="2023-11-06"/>
        <s v="2023-08-31"/>
        <s v="2023-05-29"/>
        <s v="2023-08-20"/>
      </sharedItems>
    </cacheField>
    <cacheField name="Month" numFmtId="1">
      <sharedItems containsSemiMixedTypes="0" containsString="0" containsNumber="1" containsInteger="1" minValue="1" maxValue="12" count="12">
        <n v="4"/>
        <n v="6"/>
        <n v="12"/>
        <n v="8"/>
        <n v="7"/>
        <n v="1"/>
        <n v="2"/>
        <n v="9"/>
        <n v="3"/>
        <n v="5"/>
        <n v="11"/>
        <n v="10"/>
      </sharedItems>
    </cacheField>
    <cacheField name="Region" numFmtId="0">
      <sharedItems count="4">
        <s v="East"/>
        <s v="North"/>
        <s v="South"/>
        <s v="West"/>
      </sharedItems>
    </cacheField>
    <cacheField name="State" numFmtId="0">
      <sharedItems count="16">
        <s v="Bihar"/>
        <s v="Delhi"/>
        <s v="Tamil Nadu"/>
        <s v="Kerala"/>
        <s v="Telangana"/>
        <s v="Karnataka"/>
        <s v="Haryana"/>
        <s v="Goa"/>
        <s v="Rajasthan"/>
        <s v="Gujarat"/>
        <s v="Punjab"/>
        <s v="West Bengal"/>
        <s v="Assam"/>
        <s v="Maharashtra"/>
        <s v="UP"/>
        <s v="Odisha"/>
      </sharedItems>
    </cacheField>
    <cacheField name="Category" numFmtId="0">
      <sharedItems count="4">
        <s v="Electronics"/>
        <s v="Furniture"/>
        <s v="Grocery"/>
        <s v="Clothing"/>
      </sharedItems>
    </cacheField>
    <cacheField name="Sub-Category" numFmtId="0">
      <sharedItems/>
    </cacheField>
    <cacheField name="Product" numFmtId="0">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257" maxValue="49922"/>
    </cacheField>
    <cacheField name="Sales" numFmtId="0">
      <sharedItems containsSemiMixedTypes="0" containsString="0" containsNumber="1" containsInteger="1" minValue="257" maxValue="492920"/>
    </cacheField>
    <cacheField name="dis" numFmtId="0">
      <sharedItems containsSemiMixedTypes="0" containsString="0" containsNumber="1" minValue="0" maxValue="67641.52"/>
    </cacheField>
    <cacheField name="Sales_after_discount" numFmtId="0">
      <sharedItems containsSemiMixedTypes="0" containsString="0" containsNumber="1" minValue="223.59" maxValue="463344.8"/>
    </cacheField>
    <cacheField name="Discount" numFmtId="0">
      <sharedItems containsSemiMixedTypes="0" containsString="0" containsNumber="1" minValue="0" maxValue="0.2" count="21">
        <n v="7.0000000000000007E-2"/>
        <n v="0.04"/>
        <n v="0.1"/>
        <n v="0.03"/>
        <n v="0.18"/>
        <n v="0.2"/>
        <n v="0"/>
        <n v="0.11"/>
        <n v="0.02"/>
        <n v="0.12"/>
        <n v="0.16"/>
        <n v="0.19"/>
        <n v="0.06"/>
        <n v="0.14000000000000001"/>
        <n v="0.13"/>
        <n v="0.05"/>
        <n v="0.09"/>
        <n v="0.15"/>
        <n v="0.01"/>
        <n v="0.08"/>
        <n v="0.17"/>
      </sharedItems>
    </cacheField>
    <cacheField name="Customer Type" numFmtId="0">
      <sharedItems count="2">
        <s v="B2C"/>
        <s v="B2B"/>
      </sharedItems>
    </cacheField>
    <cacheField name="Salesperson" numFmtId="0">
      <sharedItems count="8">
        <s v="John"/>
        <s v="Amit"/>
        <s v="Ramesh"/>
        <s v="Priya"/>
        <s v="Aisha"/>
        <s v="Vikram"/>
        <s v="Sneha"/>
        <s v="Nisha"/>
      </sharedItems>
    </cacheField>
  </cacheFields>
  <extLst>
    <ext xmlns:x14="http://schemas.microsoft.com/office/spreadsheetml/2009/9/main" uri="{725AE2AE-9491-48be-B2B4-4EB974FC3084}">
      <x14:pivotCacheDefinition pivotCacheId="17803764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x v="0"/>
    <s v="Monitor"/>
    <s v="LG UltraWide"/>
    <n v="9"/>
    <n v="32905"/>
    <n v="296145"/>
    <n v="20730.150000000001"/>
    <n v="275414.84999999998"/>
    <x v="0"/>
    <x v="0"/>
    <x v="0"/>
  </r>
  <r>
    <x v="1"/>
    <x v="1"/>
    <x v="1"/>
    <x v="1"/>
    <x v="1"/>
    <x v="1"/>
    <s v="Chair"/>
    <s v="Ergo Chair"/>
    <n v="9"/>
    <n v="40330"/>
    <n v="362970"/>
    <n v="14518.800000000001"/>
    <n v="348451.2"/>
    <x v="1"/>
    <x v="0"/>
    <x v="1"/>
  </r>
  <r>
    <x v="2"/>
    <x v="2"/>
    <x v="2"/>
    <x v="2"/>
    <x v="2"/>
    <x v="2"/>
    <s v="Milk"/>
    <s v="Toned Milk"/>
    <n v="2"/>
    <n v="46305"/>
    <n v="92610"/>
    <n v="9261"/>
    <n v="83349"/>
    <x v="2"/>
    <x v="1"/>
    <x v="2"/>
  </r>
  <r>
    <x v="3"/>
    <x v="3"/>
    <x v="3"/>
    <x v="2"/>
    <x v="3"/>
    <x v="1"/>
    <s v="Shelf"/>
    <s v="Wall Shelf"/>
    <n v="8"/>
    <n v="32683"/>
    <n v="261464"/>
    <n v="7843.92"/>
    <n v="253620.08"/>
    <x v="3"/>
    <x v="0"/>
    <x v="3"/>
  </r>
  <r>
    <x v="4"/>
    <x v="4"/>
    <x v="3"/>
    <x v="1"/>
    <x v="1"/>
    <x v="3"/>
    <s v="T-Shirt"/>
    <s v="Cotton Tee"/>
    <n v="8"/>
    <n v="30507"/>
    <n v="244056"/>
    <n v="43930.080000000002"/>
    <n v="200125.91999999998"/>
    <x v="4"/>
    <x v="1"/>
    <x v="4"/>
  </r>
  <r>
    <x v="5"/>
    <x v="5"/>
    <x v="3"/>
    <x v="2"/>
    <x v="4"/>
    <x v="3"/>
    <s v="Jacket"/>
    <s v="Leather Jacket"/>
    <n v="6"/>
    <n v="23778"/>
    <n v="142668"/>
    <n v="28533.600000000002"/>
    <n v="114134.39999999999"/>
    <x v="5"/>
    <x v="0"/>
    <x v="4"/>
  </r>
  <r>
    <x v="6"/>
    <x v="6"/>
    <x v="4"/>
    <x v="2"/>
    <x v="3"/>
    <x v="0"/>
    <s v="Laptop"/>
    <s v="Acer Aspire 5"/>
    <n v="4"/>
    <n v="20486"/>
    <n v="81944"/>
    <n v="0"/>
    <n v="81944"/>
    <x v="6"/>
    <x v="1"/>
    <x v="2"/>
  </r>
  <r>
    <x v="7"/>
    <x v="7"/>
    <x v="2"/>
    <x v="0"/>
    <x v="0"/>
    <x v="0"/>
    <s v="Monitor"/>
    <s v="Dell 24-inch"/>
    <n v="8"/>
    <n v="2388"/>
    <n v="19104"/>
    <n v="2101.44"/>
    <n v="17002.560000000001"/>
    <x v="7"/>
    <x v="1"/>
    <x v="3"/>
  </r>
  <r>
    <x v="8"/>
    <x v="8"/>
    <x v="1"/>
    <x v="2"/>
    <x v="3"/>
    <x v="2"/>
    <s v="Rice"/>
    <s v="Brown Rice"/>
    <n v="3"/>
    <n v="25286"/>
    <n v="75858"/>
    <n v="3034.32"/>
    <n v="72823.679999999993"/>
    <x v="1"/>
    <x v="1"/>
    <x v="3"/>
  </r>
  <r>
    <x v="9"/>
    <x v="9"/>
    <x v="5"/>
    <x v="2"/>
    <x v="5"/>
    <x v="3"/>
    <s v="T-Shirt"/>
    <s v="Cotton Tee"/>
    <n v="1"/>
    <n v="45849"/>
    <n v="45849"/>
    <n v="5043.3900000000003"/>
    <n v="40805.61"/>
    <x v="7"/>
    <x v="1"/>
    <x v="2"/>
  </r>
  <r>
    <x v="10"/>
    <x v="10"/>
    <x v="6"/>
    <x v="1"/>
    <x v="6"/>
    <x v="2"/>
    <s v="Snacks"/>
    <s v="Nachos"/>
    <n v="7"/>
    <n v="29584"/>
    <n v="207088"/>
    <n v="4141.76"/>
    <n v="202946.24"/>
    <x v="8"/>
    <x v="0"/>
    <x v="5"/>
  </r>
  <r>
    <x v="11"/>
    <x v="11"/>
    <x v="2"/>
    <x v="2"/>
    <x v="5"/>
    <x v="2"/>
    <s v="Snacks"/>
    <s v="Nachos"/>
    <n v="9"/>
    <n v="1513"/>
    <n v="13617"/>
    <n v="2451.06"/>
    <n v="11165.94"/>
    <x v="4"/>
    <x v="0"/>
    <x v="0"/>
  </r>
  <r>
    <x v="12"/>
    <x v="12"/>
    <x v="1"/>
    <x v="1"/>
    <x v="6"/>
    <x v="2"/>
    <s v="Oil"/>
    <s v="Mustard Oil"/>
    <n v="3"/>
    <n v="34587"/>
    <n v="103761"/>
    <n v="11413.710000000001"/>
    <n v="92347.29"/>
    <x v="7"/>
    <x v="1"/>
    <x v="4"/>
  </r>
  <r>
    <x v="13"/>
    <x v="13"/>
    <x v="0"/>
    <x v="3"/>
    <x v="7"/>
    <x v="2"/>
    <s v="Snacks"/>
    <s v="Nachos"/>
    <n v="2"/>
    <n v="32834"/>
    <n v="65668"/>
    <n v="1970.04"/>
    <n v="63697.96"/>
    <x v="3"/>
    <x v="1"/>
    <x v="1"/>
  </r>
  <r>
    <x v="14"/>
    <x v="14"/>
    <x v="4"/>
    <x v="3"/>
    <x v="8"/>
    <x v="0"/>
    <s v="Monitor"/>
    <s v="Dell 24-inch"/>
    <n v="1"/>
    <n v="26572"/>
    <n v="26572"/>
    <n v="531.44000000000005"/>
    <n v="26040.560000000001"/>
    <x v="8"/>
    <x v="0"/>
    <x v="6"/>
  </r>
  <r>
    <x v="15"/>
    <x v="15"/>
    <x v="4"/>
    <x v="3"/>
    <x v="9"/>
    <x v="3"/>
    <s v="Shirt"/>
    <s v="Linen Shirt"/>
    <n v="8"/>
    <n v="19749"/>
    <n v="157992"/>
    <n v="18959.04"/>
    <n v="139032.95999999999"/>
    <x v="9"/>
    <x v="1"/>
    <x v="5"/>
  </r>
  <r>
    <x v="16"/>
    <x v="16"/>
    <x v="4"/>
    <x v="2"/>
    <x v="4"/>
    <x v="2"/>
    <s v="Snacks"/>
    <s v="Nachos"/>
    <n v="7"/>
    <n v="3906"/>
    <n v="27342"/>
    <n v="3281.04"/>
    <n v="24060.959999999999"/>
    <x v="9"/>
    <x v="1"/>
    <x v="5"/>
  </r>
  <r>
    <x v="17"/>
    <x v="17"/>
    <x v="7"/>
    <x v="1"/>
    <x v="10"/>
    <x v="2"/>
    <s v="Rice"/>
    <s v="Brown Rice"/>
    <n v="9"/>
    <n v="45609"/>
    <n v="410481"/>
    <n v="16419.240000000002"/>
    <n v="394061.76"/>
    <x v="1"/>
    <x v="0"/>
    <x v="4"/>
  </r>
  <r>
    <x v="18"/>
    <x v="18"/>
    <x v="7"/>
    <x v="0"/>
    <x v="11"/>
    <x v="1"/>
    <s v="Shelf"/>
    <s v="Metal Shelf"/>
    <n v="10"/>
    <n v="4005"/>
    <n v="40050"/>
    <n v="6408"/>
    <n v="33642"/>
    <x v="10"/>
    <x v="1"/>
    <x v="1"/>
  </r>
  <r>
    <x v="19"/>
    <x v="19"/>
    <x v="0"/>
    <x v="3"/>
    <x v="8"/>
    <x v="0"/>
    <s v="Headphones"/>
    <s v="JBL Tune"/>
    <n v="1"/>
    <n v="12018"/>
    <n v="12018"/>
    <n v="2283.42"/>
    <n v="9734.58"/>
    <x v="11"/>
    <x v="1"/>
    <x v="6"/>
  </r>
  <r>
    <x v="20"/>
    <x v="20"/>
    <x v="8"/>
    <x v="2"/>
    <x v="3"/>
    <x v="2"/>
    <s v="Milk"/>
    <s v="Full Cream Milk"/>
    <n v="2"/>
    <n v="31751"/>
    <n v="63502"/>
    <n v="4445.1400000000003"/>
    <n v="59056.86"/>
    <x v="0"/>
    <x v="1"/>
    <x v="1"/>
  </r>
  <r>
    <x v="21"/>
    <x v="21"/>
    <x v="3"/>
    <x v="2"/>
    <x v="4"/>
    <x v="3"/>
    <s v="T-Shirt"/>
    <s v="Graphic Tee"/>
    <n v="10"/>
    <n v="4062"/>
    <n v="40620"/>
    <n v="4874.3999999999996"/>
    <n v="35745.599999999999"/>
    <x v="9"/>
    <x v="0"/>
    <x v="1"/>
  </r>
  <r>
    <x v="22"/>
    <x v="22"/>
    <x v="6"/>
    <x v="2"/>
    <x v="5"/>
    <x v="0"/>
    <s v="Monitor"/>
    <s v="LG UltraWide"/>
    <n v="7"/>
    <n v="22038"/>
    <n v="154266"/>
    <n v="6170.64"/>
    <n v="148095.35999999999"/>
    <x v="1"/>
    <x v="1"/>
    <x v="3"/>
  </r>
  <r>
    <x v="23"/>
    <x v="23"/>
    <x v="3"/>
    <x v="0"/>
    <x v="12"/>
    <x v="1"/>
    <s v="Chair"/>
    <s v="Office Chair Pro"/>
    <n v="9"/>
    <n v="9591"/>
    <n v="86319"/>
    <n v="6042.3300000000008"/>
    <n v="80276.67"/>
    <x v="0"/>
    <x v="1"/>
    <x v="0"/>
  </r>
  <r>
    <x v="24"/>
    <x v="24"/>
    <x v="9"/>
    <x v="3"/>
    <x v="7"/>
    <x v="2"/>
    <s v="Rice"/>
    <s v="Brown Rice"/>
    <n v="2"/>
    <n v="22073"/>
    <n v="44146"/>
    <n v="2648.7599999999998"/>
    <n v="41497.24"/>
    <x v="12"/>
    <x v="1"/>
    <x v="0"/>
  </r>
  <r>
    <x v="25"/>
    <x v="25"/>
    <x v="2"/>
    <x v="3"/>
    <x v="8"/>
    <x v="1"/>
    <s v="Shelf"/>
    <s v="Metal Shelf"/>
    <n v="1"/>
    <n v="16541"/>
    <n v="16541"/>
    <n v="2315.7400000000002"/>
    <n v="14225.26"/>
    <x v="13"/>
    <x v="1"/>
    <x v="6"/>
  </r>
  <r>
    <x v="26"/>
    <x v="26"/>
    <x v="10"/>
    <x v="2"/>
    <x v="4"/>
    <x v="1"/>
    <s v="Chair"/>
    <s v="Wooden Chair"/>
    <n v="1"/>
    <n v="257"/>
    <n v="257"/>
    <n v="33.410000000000004"/>
    <n v="223.59"/>
    <x v="14"/>
    <x v="0"/>
    <x v="3"/>
  </r>
  <r>
    <x v="27"/>
    <x v="27"/>
    <x v="0"/>
    <x v="0"/>
    <x v="0"/>
    <x v="0"/>
    <s v="Mobile"/>
    <s v="iPhone 13"/>
    <n v="7"/>
    <n v="38762"/>
    <n v="271334"/>
    <n v="54266.8"/>
    <n v="217067.2"/>
    <x v="5"/>
    <x v="1"/>
    <x v="4"/>
  </r>
  <r>
    <x v="28"/>
    <x v="28"/>
    <x v="7"/>
    <x v="3"/>
    <x v="8"/>
    <x v="3"/>
    <s v="T-Shirt"/>
    <s v="Cotton Tee"/>
    <n v="10"/>
    <n v="4695"/>
    <n v="46950"/>
    <n v="2347.5"/>
    <n v="44602.5"/>
    <x v="15"/>
    <x v="1"/>
    <x v="7"/>
  </r>
  <r>
    <x v="29"/>
    <x v="29"/>
    <x v="8"/>
    <x v="3"/>
    <x v="8"/>
    <x v="1"/>
    <s v="Shelf"/>
    <s v="Metal Shelf"/>
    <n v="5"/>
    <n v="20339"/>
    <n v="101695"/>
    <n v="9152.5499999999993"/>
    <n v="92542.45"/>
    <x v="16"/>
    <x v="0"/>
    <x v="1"/>
  </r>
  <r>
    <x v="30"/>
    <x v="30"/>
    <x v="9"/>
    <x v="0"/>
    <x v="11"/>
    <x v="3"/>
    <s v="Shirt"/>
    <s v="Casual Shirt"/>
    <n v="7"/>
    <n v="32551"/>
    <n v="227857"/>
    <n v="11392.85"/>
    <n v="216464.15"/>
    <x v="15"/>
    <x v="1"/>
    <x v="6"/>
  </r>
  <r>
    <x v="31"/>
    <x v="31"/>
    <x v="9"/>
    <x v="2"/>
    <x v="4"/>
    <x v="0"/>
    <s v="Monitor"/>
    <s v="Dell 24-inch"/>
    <n v="5"/>
    <n v="13811"/>
    <n v="69055"/>
    <n v="10358.25"/>
    <n v="58696.75"/>
    <x v="17"/>
    <x v="0"/>
    <x v="5"/>
  </r>
  <r>
    <x v="32"/>
    <x v="32"/>
    <x v="4"/>
    <x v="0"/>
    <x v="11"/>
    <x v="2"/>
    <s v="Milk"/>
    <s v="Cow Milk"/>
    <n v="10"/>
    <n v="27338"/>
    <n v="273380"/>
    <n v="38273.200000000004"/>
    <n v="235106.8"/>
    <x v="13"/>
    <x v="1"/>
    <x v="3"/>
  </r>
  <r>
    <x v="33"/>
    <x v="33"/>
    <x v="5"/>
    <x v="3"/>
    <x v="13"/>
    <x v="2"/>
    <s v="Rice"/>
    <s v="Basmati Rice"/>
    <n v="5"/>
    <n v="26796"/>
    <n v="133980"/>
    <n v="4019.3999999999996"/>
    <n v="129960.6"/>
    <x v="3"/>
    <x v="0"/>
    <x v="6"/>
  </r>
  <r>
    <x v="34"/>
    <x v="34"/>
    <x v="6"/>
    <x v="1"/>
    <x v="14"/>
    <x v="3"/>
    <s v="Jeans"/>
    <s v="Slim Fit"/>
    <n v="5"/>
    <n v="42606"/>
    <n v="213030"/>
    <n v="8521.2000000000007"/>
    <n v="204508.79999999999"/>
    <x v="1"/>
    <x v="1"/>
    <x v="7"/>
  </r>
  <r>
    <x v="35"/>
    <x v="35"/>
    <x v="9"/>
    <x v="2"/>
    <x v="4"/>
    <x v="0"/>
    <s v="Headphones"/>
    <s v="Sony WH-1000XM4"/>
    <n v="4"/>
    <n v="24249"/>
    <n v="96996"/>
    <n v="18429.240000000002"/>
    <n v="78566.759999999995"/>
    <x v="11"/>
    <x v="1"/>
    <x v="1"/>
  </r>
  <r>
    <x v="36"/>
    <x v="36"/>
    <x v="9"/>
    <x v="2"/>
    <x v="3"/>
    <x v="0"/>
    <s v="Laptop"/>
    <s v="HP Pavilion"/>
    <n v="7"/>
    <n v="11215"/>
    <n v="78505"/>
    <n v="12560.800000000001"/>
    <n v="65944.2"/>
    <x v="10"/>
    <x v="0"/>
    <x v="7"/>
  </r>
  <r>
    <x v="37"/>
    <x v="37"/>
    <x v="4"/>
    <x v="2"/>
    <x v="2"/>
    <x v="3"/>
    <s v="Jeans"/>
    <s v="Slim Fit"/>
    <n v="8"/>
    <n v="43581"/>
    <n v="348648"/>
    <n v="34864.800000000003"/>
    <n v="313783.2"/>
    <x v="2"/>
    <x v="1"/>
    <x v="1"/>
  </r>
  <r>
    <x v="38"/>
    <x v="38"/>
    <x v="9"/>
    <x v="2"/>
    <x v="3"/>
    <x v="3"/>
    <s v="Shirt"/>
    <s v="Formal Shirt"/>
    <n v="1"/>
    <n v="13098"/>
    <n v="13098"/>
    <n v="130.97999999999999"/>
    <n v="12967.02"/>
    <x v="18"/>
    <x v="1"/>
    <x v="1"/>
  </r>
  <r>
    <x v="39"/>
    <x v="39"/>
    <x v="4"/>
    <x v="0"/>
    <x v="11"/>
    <x v="1"/>
    <s v="Shelf"/>
    <s v="Metal Shelf"/>
    <n v="7"/>
    <n v="14708"/>
    <n v="102956"/>
    <n v="5147.8"/>
    <n v="97808.2"/>
    <x v="15"/>
    <x v="1"/>
    <x v="6"/>
  </r>
  <r>
    <x v="40"/>
    <x v="40"/>
    <x v="6"/>
    <x v="1"/>
    <x v="10"/>
    <x v="0"/>
    <s v="Laptop"/>
    <s v="Dell Inspiron"/>
    <n v="5"/>
    <n v="22400"/>
    <n v="112000"/>
    <n v="8960"/>
    <n v="103040"/>
    <x v="19"/>
    <x v="1"/>
    <x v="7"/>
  </r>
  <r>
    <x v="41"/>
    <x v="32"/>
    <x v="4"/>
    <x v="2"/>
    <x v="4"/>
    <x v="0"/>
    <s v="Monitor"/>
    <s v="Samsung Curved"/>
    <n v="4"/>
    <n v="33812"/>
    <n v="135248"/>
    <n v="9467.36"/>
    <n v="125780.64"/>
    <x v="0"/>
    <x v="1"/>
    <x v="1"/>
  </r>
  <r>
    <x v="42"/>
    <x v="41"/>
    <x v="4"/>
    <x v="0"/>
    <x v="11"/>
    <x v="3"/>
    <s v="Jacket"/>
    <s v="Windcheater"/>
    <n v="9"/>
    <n v="21386"/>
    <n v="192474"/>
    <n v="0"/>
    <n v="192474"/>
    <x v="6"/>
    <x v="0"/>
    <x v="0"/>
  </r>
  <r>
    <x v="43"/>
    <x v="42"/>
    <x v="8"/>
    <x v="1"/>
    <x v="6"/>
    <x v="1"/>
    <s v="Table"/>
    <s v="Dining Table"/>
    <n v="7"/>
    <n v="17887"/>
    <n v="125209"/>
    <n v="15025.08"/>
    <n v="110183.92"/>
    <x v="9"/>
    <x v="0"/>
    <x v="3"/>
  </r>
  <r>
    <x v="44"/>
    <x v="43"/>
    <x v="9"/>
    <x v="3"/>
    <x v="8"/>
    <x v="3"/>
    <s v="Shirt"/>
    <s v="Linen Shirt"/>
    <n v="1"/>
    <n v="27770"/>
    <n v="27770"/>
    <n v="3610.1"/>
    <n v="24159.9"/>
    <x v="14"/>
    <x v="0"/>
    <x v="5"/>
  </r>
  <r>
    <x v="45"/>
    <x v="44"/>
    <x v="8"/>
    <x v="2"/>
    <x v="4"/>
    <x v="3"/>
    <s v="Jacket"/>
    <s v="Hooded Jacket"/>
    <n v="6"/>
    <n v="29196"/>
    <n v="175176"/>
    <n v="33283.440000000002"/>
    <n v="141892.56"/>
    <x v="11"/>
    <x v="0"/>
    <x v="5"/>
  </r>
  <r>
    <x v="46"/>
    <x v="45"/>
    <x v="2"/>
    <x v="1"/>
    <x v="1"/>
    <x v="0"/>
    <s v="Mobile"/>
    <s v="iPhone 13"/>
    <n v="4"/>
    <n v="43748"/>
    <n v="174992"/>
    <n v="10499.52"/>
    <n v="164492.48000000001"/>
    <x v="12"/>
    <x v="1"/>
    <x v="1"/>
  </r>
  <r>
    <x v="47"/>
    <x v="46"/>
    <x v="5"/>
    <x v="1"/>
    <x v="10"/>
    <x v="3"/>
    <s v="T-Shirt"/>
    <s v="Cotton Tee"/>
    <n v="6"/>
    <n v="6641"/>
    <n v="39846"/>
    <n v="3984.6000000000004"/>
    <n v="35861.4"/>
    <x v="2"/>
    <x v="1"/>
    <x v="0"/>
  </r>
  <r>
    <x v="48"/>
    <x v="47"/>
    <x v="3"/>
    <x v="1"/>
    <x v="14"/>
    <x v="1"/>
    <s v="Chair"/>
    <s v="Ergo Chair"/>
    <n v="6"/>
    <n v="35223"/>
    <n v="211338"/>
    <n v="23247.18"/>
    <n v="188090.82"/>
    <x v="7"/>
    <x v="1"/>
    <x v="5"/>
  </r>
  <r>
    <x v="49"/>
    <x v="48"/>
    <x v="1"/>
    <x v="3"/>
    <x v="13"/>
    <x v="3"/>
    <s v="T-Shirt"/>
    <s v="Graphic Tee"/>
    <n v="1"/>
    <n v="25754"/>
    <n v="25754"/>
    <n v="0"/>
    <n v="25754"/>
    <x v="6"/>
    <x v="1"/>
    <x v="0"/>
  </r>
  <r>
    <x v="50"/>
    <x v="49"/>
    <x v="6"/>
    <x v="0"/>
    <x v="15"/>
    <x v="2"/>
    <s v="Oil"/>
    <s v="Sunflower Oil"/>
    <n v="3"/>
    <n v="13236"/>
    <n v="39708"/>
    <n v="3176.64"/>
    <n v="36531.360000000001"/>
    <x v="19"/>
    <x v="1"/>
    <x v="3"/>
  </r>
  <r>
    <x v="51"/>
    <x v="50"/>
    <x v="0"/>
    <x v="2"/>
    <x v="4"/>
    <x v="2"/>
    <s v="Oil"/>
    <s v="Sunflower Oil"/>
    <n v="8"/>
    <n v="29235"/>
    <n v="233880"/>
    <n v="37420.800000000003"/>
    <n v="196459.2"/>
    <x v="10"/>
    <x v="1"/>
    <x v="2"/>
  </r>
  <r>
    <x v="52"/>
    <x v="51"/>
    <x v="4"/>
    <x v="1"/>
    <x v="10"/>
    <x v="0"/>
    <s v="Laptop"/>
    <s v="Acer Aspire 5"/>
    <n v="2"/>
    <n v="46771"/>
    <n v="93542"/>
    <n v="1870.8400000000001"/>
    <n v="91671.16"/>
    <x v="8"/>
    <x v="1"/>
    <x v="1"/>
  </r>
  <r>
    <x v="53"/>
    <x v="52"/>
    <x v="11"/>
    <x v="2"/>
    <x v="5"/>
    <x v="0"/>
    <s v="Laptop"/>
    <s v="Dell Inspiron"/>
    <n v="10"/>
    <n v="46646"/>
    <n v="466460"/>
    <n v="60639.8"/>
    <n v="405820.2"/>
    <x v="14"/>
    <x v="1"/>
    <x v="7"/>
  </r>
  <r>
    <x v="54"/>
    <x v="53"/>
    <x v="5"/>
    <x v="3"/>
    <x v="13"/>
    <x v="2"/>
    <s v="Milk"/>
    <s v="Full Cream Milk"/>
    <n v="2"/>
    <n v="34702"/>
    <n v="69404"/>
    <n v="10410.6"/>
    <n v="58993.4"/>
    <x v="17"/>
    <x v="0"/>
    <x v="7"/>
  </r>
  <r>
    <x v="55"/>
    <x v="54"/>
    <x v="1"/>
    <x v="2"/>
    <x v="5"/>
    <x v="0"/>
    <s v="Mobile"/>
    <s v="iPhone 13"/>
    <n v="7"/>
    <n v="811"/>
    <n v="5677"/>
    <n v="965.09"/>
    <n v="4711.91"/>
    <x v="20"/>
    <x v="1"/>
    <x v="3"/>
  </r>
  <r>
    <x v="56"/>
    <x v="52"/>
    <x v="11"/>
    <x v="3"/>
    <x v="7"/>
    <x v="0"/>
    <s v="Mobile"/>
    <s v="Samsung S21"/>
    <n v="3"/>
    <n v="40029"/>
    <n v="120087"/>
    <n v="1200.8700000000001"/>
    <n v="118886.13"/>
    <x v="18"/>
    <x v="1"/>
    <x v="4"/>
  </r>
  <r>
    <x v="57"/>
    <x v="27"/>
    <x v="0"/>
    <x v="1"/>
    <x v="1"/>
    <x v="2"/>
    <s v="Oil"/>
    <s v="Sunflower Oil"/>
    <n v="7"/>
    <n v="14322"/>
    <n v="100254"/>
    <n v="19048.260000000002"/>
    <n v="81205.739999999991"/>
    <x v="11"/>
    <x v="1"/>
    <x v="0"/>
  </r>
  <r>
    <x v="58"/>
    <x v="55"/>
    <x v="10"/>
    <x v="3"/>
    <x v="13"/>
    <x v="2"/>
    <s v="Rice"/>
    <s v="Sona Masoori"/>
    <n v="8"/>
    <n v="47465"/>
    <n v="379720"/>
    <n v="11391.6"/>
    <n v="368328.4"/>
    <x v="3"/>
    <x v="1"/>
    <x v="5"/>
  </r>
  <r>
    <x v="59"/>
    <x v="48"/>
    <x v="1"/>
    <x v="0"/>
    <x v="12"/>
    <x v="0"/>
    <s v="Headphones"/>
    <s v="Boat Rockerz"/>
    <n v="3"/>
    <n v="4508"/>
    <n v="13524"/>
    <n v="270.48"/>
    <n v="13253.52"/>
    <x v="8"/>
    <x v="1"/>
    <x v="2"/>
  </r>
  <r>
    <x v="60"/>
    <x v="56"/>
    <x v="7"/>
    <x v="2"/>
    <x v="3"/>
    <x v="2"/>
    <s v="Snacks"/>
    <s v="Chips"/>
    <n v="6"/>
    <n v="21510"/>
    <n v="129060"/>
    <n v="6453"/>
    <n v="122607"/>
    <x v="15"/>
    <x v="1"/>
    <x v="6"/>
  </r>
  <r>
    <x v="61"/>
    <x v="57"/>
    <x v="2"/>
    <x v="2"/>
    <x v="3"/>
    <x v="1"/>
    <s v="Sofa"/>
    <s v="3-Seater Sofa"/>
    <n v="9"/>
    <n v="6713"/>
    <n v="60417"/>
    <n v="8458.380000000001"/>
    <n v="51958.619999999995"/>
    <x v="13"/>
    <x v="1"/>
    <x v="3"/>
  </r>
  <r>
    <x v="62"/>
    <x v="58"/>
    <x v="3"/>
    <x v="0"/>
    <x v="12"/>
    <x v="2"/>
    <s v="Milk"/>
    <s v="Full Cream Milk"/>
    <n v="10"/>
    <n v="10054"/>
    <n v="100540"/>
    <n v="11059.4"/>
    <n v="89480.6"/>
    <x v="7"/>
    <x v="1"/>
    <x v="1"/>
  </r>
  <r>
    <x v="63"/>
    <x v="59"/>
    <x v="4"/>
    <x v="3"/>
    <x v="7"/>
    <x v="1"/>
    <s v="Shelf"/>
    <s v="Wall Shelf"/>
    <n v="7"/>
    <n v="6538"/>
    <n v="45766"/>
    <n v="0"/>
    <n v="45766"/>
    <x v="6"/>
    <x v="0"/>
    <x v="6"/>
  </r>
  <r>
    <x v="64"/>
    <x v="60"/>
    <x v="9"/>
    <x v="0"/>
    <x v="0"/>
    <x v="1"/>
    <s v="Chair"/>
    <s v="Office Chair Pro"/>
    <n v="3"/>
    <n v="42025"/>
    <n v="126075"/>
    <n v="8825.25"/>
    <n v="117249.75"/>
    <x v="0"/>
    <x v="0"/>
    <x v="3"/>
  </r>
  <r>
    <x v="65"/>
    <x v="61"/>
    <x v="1"/>
    <x v="2"/>
    <x v="5"/>
    <x v="0"/>
    <s v="Laptop"/>
    <s v="Acer Aspire 5"/>
    <n v="1"/>
    <n v="38321"/>
    <n v="38321"/>
    <n v="3065.6800000000003"/>
    <n v="35255.32"/>
    <x v="19"/>
    <x v="0"/>
    <x v="4"/>
  </r>
  <r>
    <x v="66"/>
    <x v="62"/>
    <x v="1"/>
    <x v="3"/>
    <x v="9"/>
    <x v="1"/>
    <s v="Chair"/>
    <s v="Office Chair Pro"/>
    <n v="1"/>
    <n v="17539"/>
    <n v="17539"/>
    <n v="3507.8"/>
    <n v="14031.2"/>
    <x v="5"/>
    <x v="0"/>
    <x v="5"/>
  </r>
  <r>
    <x v="67"/>
    <x v="63"/>
    <x v="9"/>
    <x v="1"/>
    <x v="6"/>
    <x v="2"/>
    <s v="Snacks"/>
    <s v="Biscuits"/>
    <n v="3"/>
    <n v="1343"/>
    <n v="4029"/>
    <n v="684.93000000000006"/>
    <n v="3344.0699999999997"/>
    <x v="20"/>
    <x v="0"/>
    <x v="4"/>
  </r>
  <r>
    <x v="68"/>
    <x v="64"/>
    <x v="11"/>
    <x v="0"/>
    <x v="11"/>
    <x v="0"/>
    <s v="Monitor"/>
    <s v="Samsung Curved"/>
    <n v="1"/>
    <n v="49922"/>
    <n v="49922"/>
    <n v="998.44"/>
    <n v="48923.56"/>
    <x v="8"/>
    <x v="1"/>
    <x v="1"/>
  </r>
  <r>
    <x v="69"/>
    <x v="45"/>
    <x v="2"/>
    <x v="3"/>
    <x v="8"/>
    <x v="0"/>
    <s v="Mobile"/>
    <s v="Samsung S21"/>
    <n v="9"/>
    <n v="10629"/>
    <n v="95661"/>
    <n v="12435.93"/>
    <n v="83225.070000000007"/>
    <x v="14"/>
    <x v="1"/>
    <x v="4"/>
  </r>
  <r>
    <x v="70"/>
    <x v="65"/>
    <x v="10"/>
    <x v="3"/>
    <x v="8"/>
    <x v="1"/>
    <s v="Sofa"/>
    <s v="3-Seater Sofa"/>
    <n v="4"/>
    <n v="10394"/>
    <n v="41576"/>
    <n v="4573.3599999999997"/>
    <n v="37002.639999999999"/>
    <x v="7"/>
    <x v="0"/>
    <x v="7"/>
  </r>
  <r>
    <x v="71"/>
    <x v="66"/>
    <x v="3"/>
    <x v="1"/>
    <x v="10"/>
    <x v="3"/>
    <s v="T-Shirt"/>
    <s v="Sports Tee"/>
    <n v="8"/>
    <n v="8454"/>
    <n v="67632"/>
    <n v="8115.84"/>
    <n v="59516.160000000003"/>
    <x v="9"/>
    <x v="0"/>
    <x v="2"/>
  </r>
  <r>
    <x v="72"/>
    <x v="67"/>
    <x v="0"/>
    <x v="3"/>
    <x v="9"/>
    <x v="2"/>
    <s v="Oil"/>
    <s v="Mustard Oil"/>
    <n v="9"/>
    <n v="36897"/>
    <n v="332073"/>
    <n v="19924.38"/>
    <n v="312148.62"/>
    <x v="12"/>
    <x v="0"/>
    <x v="2"/>
  </r>
  <r>
    <x v="73"/>
    <x v="68"/>
    <x v="9"/>
    <x v="1"/>
    <x v="14"/>
    <x v="0"/>
    <s v="Headphones"/>
    <s v="Boat Rockerz"/>
    <n v="2"/>
    <n v="26407"/>
    <n v="52814"/>
    <n v="5809.54"/>
    <n v="47004.46"/>
    <x v="7"/>
    <x v="0"/>
    <x v="2"/>
  </r>
  <r>
    <x v="74"/>
    <x v="69"/>
    <x v="2"/>
    <x v="2"/>
    <x v="3"/>
    <x v="2"/>
    <s v="Snacks"/>
    <s v="Biscuits"/>
    <n v="2"/>
    <n v="3114"/>
    <n v="6228"/>
    <n v="747.36"/>
    <n v="5480.64"/>
    <x v="9"/>
    <x v="0"/>
    <x v="1"/>
  </r>
  <r>
    <x v="75"/>
    <x v="70"/>
    <x v="1"/>
    <x v="3"/>
    <x v="7"/>
    <x v="1"/>
    <s v="Table"/>
    <s v="Office Table"/>
    <n v="8"/>
    <n v="24515"/>
    <n v="196120"/>
    <n v="27456.800000000003"/>
    <n v="168663.2"/>
    <x v="13"/>
    <x v="1"/>
    <x v="5"/>
  </r>
  <r>
    <x v="76"/>
    <x v="71"/>
    <x v="5"/>
    <x v="1"/>
    <x v="6"/>
    <x v="3"/>
    <s v="Jeans"/>
    <s v="Regular Fit"/>
    <n v="6"/>
    <n v="25155"/>
    <n v="150930"/>
    <n v="12074.4"/>
    <n v="138855.6"/>
    <x v="19"/>
    <x v="1"/>
    <x v="0"/>
  </r>
  <r>
    <x v="77"/>
    <x v="72"/>
    <x v="4"/>
    <x v="1"/>
    <x v="14"/>
    <x v="0"/>
    <s v="Headphones"/>
    <s v="Boat Rockerz"/>
    <n v="8"/>
    <n v="12474"/>
    <n v="99792"/>
    <n v="13970.880000000001"/>
    <n v="85821.119999999995"/>
    <x v="13"/>
    <x v="0"/>
    <x v="0"/>
  </r>
  <r>
    <x v="78"/>
    <x v="73"/>
    <x v="5"/>
    <x v="2"/>
    <x v="3"/>
    <x v="0"/>
    <s v="Monitor"/>
    <s v="Dell 24-inch"/>
    <n v="5"/>
    <n v="21432"/>
    <n v="107160"/>
    <n v="10716"/>
    <n v="96444"/>
    <x v="2"/>
    <x v="0"/>
    <x v="5"/>
  </r>
  <r>
    <x v="79"/>
    <x v="74"/>
    <x v="5"/>
    <x v="1"/>
    <x v="6"/>
    <x v="0"/>
    <s v="Monitor"/>
    <s v="Dell 24-inch"/>
    <n v="7"/>
    <n v="41716"/>
    <n v="292012"/>
    <n v="46721.919999999998"/>
    <n v="245290.08000000002"/>
    <x v="10"/>
    <x v="0"/>
    <x v="4"/>
  </r>
  <r>
    <x v="80"/>
    <x v="75"/>
    <x v="1"/>
    <x v="3"/>
    <x v="13"/>
    <x v="2"/>
    <s v="Milk"/>
    <s v="Cow Milk"/>
    <n v="9"/>
    <n v="29852"/>
    <n v="268668"/>
    <n v="29553.48"/>
    <n v="239114.52"/>
    <x v="7"/>
    <x v="1"/>
    <x v="7"/>
  </r>
  <r>
    <x v="81"/>
    <x v="76"/>
    <x v="11"/>
    <x v="3"/>
    <x v="8"/>
    <x v="3"/>
    <s v="Jeans"/>
    <s v="Stretch Fit"/>
    <n v="9"/>
    <n v="43258"/>
    <n v="389322"/>
    <n v="7786.4400000000005"/>
    <n v="381535.56"/>
    <x v="8"/>
    <x v="0"/>
    <x v="1"/>
  </r>
  <r>
    <x v="82"/>
    <x v="77"/>
    <x v="11"/>
    <x v="1"/>
    <x v="10"/>
    <x v="0"/>
    <s v="Headphones"/>
    <s v="Boat Rockerz"/>
    <n v="5"/>
    <n v="42489"/>
    <n v="212445"/>
    <n v="6373.3499999999995"/>
    <n v="206071.65"/>
    <x v="3"/>
    <x v="1"/>
    <x v="5"/>
  </r>
  <r>
    <x v="83"/>
    <x v="78"/>
    <x v="2"/>
    <x v="3"/>
    <x v="7"/>
    <x v="1"/>
    <s v="Chair"/>
    <s v="Ergo Chair"/>
    <n v="10"/>
    <n v="27301"/>
    <n v="273010"/>
    <n v="40951.5"/>
    <n v="232058.5"/>
    <x v="17"/>
    <x v="0"/>
    <x v="0"/>
  </r>
  <r>
    <x v="84"/>
    <x v="79"/>
    <x v="3"/>
    <x v="0"/>
    <x v="12"/>
    <x v="3"/>
    <s v="Jeans"/>
    <s v="Stretch Fit"/>
    <n v="3"/>
    <n v="37824"/>
    <n v="113472"/>
    <n v="6808.32"/>
    <n v="106663.67999999999"/>
    <x v="12"/>
    <x v="1"/>
    <x v="7"/>
  </r>
  <r>
    <x v="85"/>
    <x v="80"/>
    <x v="2"/>
    <x v="2"/>
    <x v="2"/>
    <x v="3"/>
    <s v="Jacket"/>
    <s v="Leather Jacket"/>
    <n v="4"/>
    <n v="41988"/>
    <n v="167952"/>
    <n v="20154.239999999998"/>
    <n v="147797.76000000001"/>
    <x v="9"/>
    <x v="0"/>
    <x v="6"/>
  </r>
  <r>
    <x v="86"/>
    <x v="62"/>
    <x v="1"/>
    <x v="0"/>
    <x v="15"/>
    <x v="1"/>
    <s v="Chair"/>
    <s v="Office Chair Pro"/>
    <n v="5"/>
    <n v="18016"/>
    <n v="90080"/>
    <n v="6305.6"/>
    <n v="83774.399999999994"/>
    <x v="0"/>
    <x v="1"/>
    <x v="0"/>
  </r>
  <r>
    <x v="87"/>
    <x v="81"/>
    <x v="4"/>
    <x v="1"/>
    <x v="1"/>
    <x v="1"/>
    <s v="Chair"/>
    <s v="Wooden Chair"/>
    <n v="8"/>
    <n v="11486"/>
    <n v="91888"/>
    <n v="15620.960000000001"/>
    <n v="76267.039999999994"/>
    <x v="20"/>
    <x v="0"/>
    <x v="4"/>
  </r>
  <r>
    <x v="88"/>
    <x v="82"/>
    <x v="8"/>
    <x v="3"/>
    <x v="8"/>
    <x v="3"/>
    <s v="Shirt"/>
    <s v="Casual Shirt"/>
    <n v="8"/>
    <n v="33981"/>
    <n v="271848"/>
    <n v="35340.239999999998"/>
    <n v="236507.76"/>
    <x v="14"/>
    <x v="1"/>
    <x v="2"/>
  </r>
  <r>
    <x v="89"/>
    <x v="83"/>
    <x v="11"/>
    <x v="2"/>
    <x v="3"/>
    <x v="0"/>
    <s v="Headphones"/>
    <s v="Sony WH-1000XM4"/>
    <n v="9"/>
    <n v="23864"/>
    <n v="214776"/>
    <n v="2147.7600000000002"/>
    <n v="212628.24"/>
    <x v="18"/>
    <x v="1"/>
    <x v="5"/>
  </r>
  <r>
    <x v="90"/>
    <x v="84"/>
    <x v="6"/>
    <x v="2"/>
    <x v="2"/>
    <x v="3"/>
    <s v="T-Shirt"/>
    <s v="Graphic Tee"/>
    <n v="6"/>
    <n v="38835"/>
    <n v="233010"/>
    <n v="27961.200000000001"/>
    <n v="205048.8"/>
    <x v="9"/>
    <x v="0"/>
    <x v="4"/>
  </r>
  <r>
    <x v="91"/>
    <x v="85"/>
    <x v="7"/>
    <x v="2"/>
    <x v="2"/>
    <x v="1"/>
    <s v="Table"/>
    <s v="Dining Table"/>
    <n v="6"/>
    <n v="35216"/>
    <n v="211296"/>
    <n v="42259.200000000004"/>
    <n v="169036.79999999999"/>
    <x v="5"/>
    <x v="1"/>
    <x v="4"/>
  </r>
  <r>
    <x v="92"/>
    <x v="86"/>
    <x v="5"/>
    <x v="3"/>
    <x v="7"/>
    <x v="1"/>
    <s v="Chair"/>
    <s v="Ergo Chair"/>
    <n v="1"/>
    <n v="14263"/>
    <n v="14263"/>
    <n v="2709.9700000000003"/>
    <n v="11553.029999999999"/>
    <x v="11"/>
    <x v="0"/>
    <x v="4"/>
  </r>
  <r>
    <x v="93"/>
    <x v="87"/>
    <x v="1"/>
    <x v="2"/>
    <x v="4"/>
    <x v="3"/>
    <s v="T-Shirt"/>
    <s v="Cotton Tee"/>
    <n v="9"/>
    <n v="1612"/>
    <n v="14508"/>
    <n v="1305.72"/>
    <n v="13202.28"/>
    <x v="16"/>
    <x v="0"/>
    <x v="2"/>
  </r>
  <r>
    <x v="94"/>
    <x v="88"/>
    <x v="10"/>
    <x v="3"/>
    <x v="8"/>
    <x v="1"/>
    <s v="Sofa"/>
    <s v="Fabric Sofa"/>
    <n v="5"/>
    <n v="10549"/>
    <n v="52745"/>
    <n v="6856.85"/>
    <n v="45888.15"/>
    <x v="14"/>
    <x v="1"/>
    <x v="1"/>
  </r>
  <r>
    <x v="95"/>
    <x v="89"/>
    <x v="6"/>
    <x v="3"/>
    <x v="7"/>
    <x v="3"/>
    <s v="Jeans"/>
    <s v="Slim Fit"/>
    <n v="8"/>
    <n v="36450"/>
    <n v="291600"/>
    <n v="17496"/>
    <n v="274104"/>
    <x v="12"/>
    <x v="1"/>
    <x v="2"/>
  </r>
  <r>
    <x v="96"/>
    <x v="70"/>
    <x v="1"/>
    <x v="3"/>
    <x v="13"/>
    <x v="1"/>
    <s v="Chair"/>
    <s v="Ergo Chair"/>
    <n v="5"/>
    <n v="45114"/>
    <n v="225570"/>
    <n v="27068.399999999998"/>
    <n v="198501.6"/>
    <x v="9"/>
    <x v="0"/>
    <x v="4"/>
  </r>
  <r>
    <x v="97"/>
    <x v="3"/>
    <x v="3"/>
    <x v="2"/>
    <x v="4"/>
    <x v="1"/>
    <s v="Sofa"/>
    <s v="Fabric Sofa"/>
    <n v="2"/>
    <n v="12984"/>
    <n v="25968"/>
    <n v="2596.8000000000002"/>
    <n v="23371.200000000001"/>
    <x v="2"/>
    <x v="1"/>
    <x v="2"/>
  </r>
  <r>
    <x v="98"/>
    <x v="90"/>
    <x v="11"/>
    <x v="3"/>
    <x v="13"/>
    <x v="3"/>
    <s v="Shirt"/>
    <s v="Linen Shirt"/>
    <n v="7"/>
    <n v="22071"/>
    <n v="154497"/>
    <n v="1544.97"/>
    <n v="152952.03"/>
    <x v="18"/>
    <x v="1"/>
    <x v="2"/>
  </r>
  <r>
    <x v="99"/>
    <x v="0"/>
    <x v="0"/>
    <x v="1"/>
    <x v="6"/>
    <x v="1"/>
    <s v="Shelf"/>
    <s v="Wall Shelf"/>
    <n v="10"/>
    <n v="8406"/>
    <n v="84060"/>
    <n v="5884.2000000000007"/>
    <n v="78175.8"/>
    <x v="0"/>
    <x v="0"/>
    <x v="0"/>
  </r>
  <r>
    <x v="100"/>
    <x v="91"/>
    <x v="2"/>
    <x v="2"/>
    <x v="3"/>
    <x v="1"/>
    <s v="Shelf"/>
    <s v="Wall Shelf"/>
    <n v="2"/>
    <n v="19806"/>
    <n v="39612"/>
    <n v="1980.6000000000001"/>
    <n v="37631.4"/>
    <x v="15"/>
    <x v="1"/>
    <x v="6"/>
  </r>
  <r>
    <x v="101"/>
    <x v="92"/>
    <x v="8"/>
    <x v="0"/>
    <x v="15"/>
    <x v="0"/>
    <s v="Laptop"/>
    <s v="Acer Aspire 5"/>
    <n v="10"/>
    <n v="10205"/>
    <n v="102050"/>
    <n v="2041"/>
    <n v="100009"/>
    <x v="8"/>
    <x v="1"/>
    <x v="6"/>
  </r>
  <r>
    <x v="102"/>
    <x v="93"/>
    <x v="2"/>
    <x v="2"/>
    <x v="3"/>
    <x v="2"/>
    <s v="Oil"/>
    <s v="Olive Oil"/>
    <n v="4"/>
    <n v="31257"/>
    <n v="125028"/>
    <n v="13753.08"/>
    <n v="111274.92"/>
    <x v="7"/>
    <x v="1"/>
    <x v="5"/>
  </r>
  <r>
    <x v="103"/>
    <x v="94"/>
    <x v="5"/>
    <x v="2"/>
    <x v="2"/>
    <x v="3"/>
    <s v="Shirt"/>
    <s v="Formal Shirt"/>
    <n v="7"/>
    <n v="45758"/>
    <n v="320306"/>
    <n v="9609.18"/>
    <n v="310696.82"/>
    <x v="3"/>
    <x v="0"/>
    <x v="7"/>
  </r>
  <r>
    <x v="104"/>
    <x v="95"/>
    <x v="6"/>
    <x v="1"/>
    <x v="14"/>
    <x v="3"/>
    <s v="T-Shirt"/>
    <s v="Sports Tee"/>
    <n v="3"/>
    <n v="1357"/>
    <n v="4071"/>
    <n v="773.49"/>
    <n v="3297.51"/>
    <x v="11"/>
    <x v="0"/>
    <x v="1"/>
  </r>
  <r>
    <x v="105"/>
    <x v="96"/>
    <x v="5"/>
    <x v="0"/>
    <x v="15"/>
    <x v="2"/>
    <s v="Milk"/>
    <s v="Full Cream Milk"/>
    <n v="1"/>
    <n v="21761"/>
    <n v="21761"/>
    <n v="3916.98"/>
    <n v="17844.02"/>
    <x v="4"/>
    <x v="0"/>
    <x v="3"/>
  </r>
  <r>
    <x v="106"/>
    <x v="97"/>
    <x v="3"/>
    <x v="1"/>
    <x v="10"/>
    <x v="3"/>
    <s v="T-Shirt"/>
    <s v="Graphic Tee"/>
    <n v="6"/>
    <n v="18512"/>
    <n v="111072"/>
    <n v="18882.240000000002"/>
    <n v="92189.759999999995"/>
    <x v="20"/>
    <x v="1"/>
    <x v="5"/>
  </r>
  <r>
    <x v="107"/>
    <x v="98"/>
    <x v="5"/>
    <x v="2"/>
    <x v="3"/>
    <x v="2"/>
    <s v="Rice"/>
    <s v="Sona Masoori"/>
    <n v="7"/>
    <n v="39773"/>
    <n v="278411"/>
    <n v="11136.44"/>
    <n v="267274.56"/>
    <x v="1"/>
    <x v="0"/>
    <x v="5"/>
  </r>
  <r>
    <x v="108"/>
    <x v="11"/>
    <x v="2"/>
    <x v="2"/>
    <x v="2"/>
    <x v="3"/>
    <s v="Jeans"/>
    <s v="Stretch Fit"/>
    <n v="1"/>
    <n v="35493"/>
    <n v="35493"/>
    <n v="1064.79"/>
    <n v="34428.21"/>
    <x v="3"/>
    <x v="1"/>
    <x v="7"/>
  </r>
  <r>
    <x v="109"/>
    <x v="99"/>
    <x v="4"/>
    <x v="2"/>
    <x v="2"/>
    <x v="2"/>
    <s v="Milk"/>
    <s v="Full Cream Milk"/>
    <n v="7"/>
    <n v="9371"/>
    <n v="65597"/>
    <n v="3279.8500000000004"/>
    <n v="62317.15"/>
    <x v="15"/>
    <x v="1"/>
    <x v="4"/>
  </r>
  <r>
    <x v="110"/>
    <x v="100"/>
    <x v="2"/>
    <x v="1"/>
    <x v="10"/>
    <x v="2"/>
    <s v="Oil"/>
    <s v="Olive Oil"/>
    <n v="10"/>
    <n v="635"/>
    <n v="6350"/>
    <n v="63.5"/>
    <n v="6286.5"/>
    <x v="18"/>
    <x v="1"/>
    <x v="3"/>
  </r>
  <r>
    <x v="111"/>
    <x v="101"/>
    <x v="7"/>
    <x v="2"/>
    <x v="2"/>
    <x v="1"/>
    <s v="Shelf"/>
    <s v="Wall Shelf"/>
    <n v="8"/>
    <n v="20858"/>
    <n v="166864"/>
    <n v="5005.92"/>
    <n v="161858.07999999999"/>
    <x v="3"/>
    <x v="0"/>
    <x v="1"/>
  </r>
  <r>
    <x v="112"/>
    <x v="102"/>
    <x v="7"/>
    <x v="2"/>
    <x v="4"/>
    <x v="0"/>
    <s v="Headphones"/>
    <s v="Boat Rockerz"/>
    <n v="5"/>
    <n v="34695"/>
    <n v="173475"/>
    <n v="13878"/>
    <n v="159597"/>
    <x v="19"/>
    <x v="1"/>
    <x v="7"/>
  </r>
  <r>
    <x v="113"/>
    <x v="34"/>
    <x v="6"/>
    <x v="3"/>
    <x v="9"/>
    <x v="0"/>
    <s v="Laptop"/>
    <s v="Acer Aspire 5"/>
    <n v="2"/>
    <n v="37272"/>
    <n v="74544"/>
    <n v="11181.6"/>
    <n v="63362.400000000001"/>
    <x v="17"/>
    <x v="1"/>
    <x v="7"/>
  </r>
  <r>
    <x v="114"/>
    <x v="103"/>
    <x v="2"/>
    <x v="3"/>
    <x v="13"/>
    <x v="3"/>
    <s v="Jacket"/>
    <s v="Windcheater"/>
    <n v="2"/>
    <n v="33825"/>
    <n v="67650"/>
    <n v="8794.5"/>
    <n v="58855.5"/>
    <x v="14"/>
    <x v="1"/>
    <x v="1"/>
  </r>
  <r>
    <x v="115"/>
    <x v="104"/>
    <x v="4"/>
    <x v="3"/>
    <x v="8"/>
    <x v="0"/>
    <s v="Monitor"/>
    <s v="Samsung Curved"/>
    <n v="4"/>
    <n v="44357"/>
    <n v="177428"/>
    <n v="7097.12"/>
    <n v="170330.88"/>
    <x v="1"/>
    <x v="0"/>
    <x v="3"/>
  </r>
  <r>
    <x v="116"/>
    <x v="15"/>
    <x v="4"/>
    <x v="0"/>
    <x v="11"/>
    <x v="1"/>
    <s v="Chair"/>
    <s v="Office Chair Pro"/>
    <n v="2"/>
    <n v="47689"/>
    <n v="95378"/>
    <n v="7630.24"/>
    <n v="87747.76"/>
    <x v="19"/>
    <x v="1"/>
    <x v="2"/>
  </r>
  <r>
    <x v="117"/>
    <x v="105"/>
    <x v="1"/>
    <x v="1"/>
    <x v="1"/>
    <x v="3"/>
    <s v="T-Shirt"/>
    <s v="Cotton Tee"/>
    <n v="4"/>
    <n v="29509"/>
    <n v="118036"/>
    <n v="11803.6"/>
    <n v="106232.4"/>
    <x v="2"/>
    <x v="0"/>
    <x v="0"/>
  </r>
  <r>
    <x v="118"/>
    <x v="106"/>
    <x v="6"/>
    <x v="0"/>
    <x v="0"/>
    <x v="0"/>
    <s v="Headphones"/>
    <s v="Boat Rockerz"/>
    <n v="1"/>
    <n v="9756"/>
    <n v="9756"/>
    <n v="1073.1600000000001"/>
    <n v="8682.84"/>
    <x v="7"/>
    <x v="1"/>
    <x v="4"/>
  </r>
  <r>
    <x v="119"/>
    <x v="84"/>
    <x v="6"/>
    <x v="1"/>
    <x v="6"/>
    <x v="2"/>
    <s v="Oil"/>
    <s v="Mustard Oil"/>
    <n v="10"/>
    <n v="36997"/>
    <n v="369970"/>
    <n v="18498.5"/>
    <n v="351471.5"/>
    <x v="15"/>
    <x v="1"/>
    <x v="5"/>
  </r>
  <r>
    <x v="120"/>
    <x v="107"/>
    <x v="1"/>
    <x v="1"/>
    <x v="6"/>
    <x v="0"/>
    <s v="Laptop"/>
    <s v="HP Pavilion"/>
    <n v="8"/>
    <n v="38256"/>
    <n v="306048"/>
    <n v="45907.199999999997"/>
    <n v="260140.79999999999"/>
    <x v="17"/>
    <x v="0"/>
    <x v="4"/>
  </r>
  <r>
    <x v="121"/>
    <x v="108"/>
    <x v="11"/>
    <x v="0"/>
    <x v="12"/>
    <x v="2"/>
    <s v="Milk"/>
    <s v="Full Cream Milk"/>
    <n v="2"/>
    <n v="13301"/>
    <n v="26602"/>
    <n v="1596.12"/>
    <n v="25005.88"/>
    <x v="12"/>
    <x v="0"/>
    <x v="1"/>
  </r>
  <r>
    <x v="122"/>
    <x v="109"/>
    <x v="7"/>
    <x v="1"/>
    <x v="1"/>
    <x v="1"/>
    <s v="Chair"/>
    <s v="Office Chair Pro"/>
    <n v="4"/>
    <n v="33262"/>
    <n v="133048"/>
    <n v="1330.48"/>
    <n v="131717.51999999999"/>
    <x v="18"/>
    <x v="1"/>
    <x v="7"/>
  </r>
  <r>
    <x v="123"/>
    <x v="28"/>
    <x v="7"/>
    <x v="3"/>
    <x v="13"/>
    <x v="2"/>
    <s v="Oil"/>
    <s v="Olive Oil"/>
    <n v="5"/>
    <n v="33264"/>
    <n v="166320"/>
    <n v="23284.800000000003"/>
    <n v="143035.20000000001"/>
    <x v="13"/>
    <x v="1"/>
    <x v="4"/>
  </r>
  <r>
    <x v="124"/>
    <x v="110"/>
    <x v="7"/>
    <x v="3"/>
    <x v="7"/>
    <x v="3"/>
    <s v="T-Shirt"/>
    <s v="Graphic Tee"/>
    <n v="6"/>
    <n v="15918"/>
    <n v="95508"/>
    <n v="9550.8000000000011"/>
    <n v="85957.2"/>
    <x v="2"/>
    <x v="1"/>
    <x v="1"/>
  </r>
  <r>
    <x v="125"/>
    <x v="3"/>
    <x v="3"/>
    <x v="0"/>
    <x v="15"/>
    <x v="0"/>
    <s v="Monitor"/>
    <s v="Samsung Curved"/>
    <n v="10"/>
    <n v="27819"/>
    <n v="278190"/>
    <n v="50074.2"/>
    <n v="228115.8"/>
    <x v="4"/>
    <x v="1"/>
    <x v="1"/>
  </r>
  <r>
    <x v="126"/>
    <x v="111"/>
    <x v="9"/>
    <x v="1"/>
    <x v="1"/>
    <x v="2"/>
    <s v="Snacks"/>
    <s v="Chips"/>
    <n v="6"/>
    <n v="37811"/>
    <n v="226866"/>
    <n v="20417.939999999999"/>
    <n v="206448.06"/>
    <x v="16"/>
    <x v="1"/>
    <x v="0"/>
  </r>
  <r>
    <x v="127"/>
    <x v="112"/>
    <x v="11"/>
    <x v="3"/>
    <x v="7"/>
    <x v="0"/>
    <s v="Mobile"/>
    <s v="Redmi Note 12"/>
    <n v="9"/>
    <n v="4856"/>
    <n v="43704"/>
    <n v="1311.12"/>
    <n v="42392.88"/>
    <x v="3"/>
    <x v="0"/>
    <x v="7"/>
  </r>
  <r>
    <x v="128"/>
    <x v="113"/>
    <x v="7"/>
    <x v="1"/>
    <x v="1"/>
    <x v="1"/>
    <s v="Shelf"/>
    <s v="Wooden Shelf"/>
    <n v="7"/>
    <n v="35218"/>
    <n v="246526"/>
    <n v="12326.300000000001"/>
    <n v="234199.7"/>
    <x v="15"/>
    <x v="1"/>
    <x v="1"/>
  </r>
  <r>
    <x v="129"/>
    <x v="114"/>
    <x v="8"/>
    <x v="1"/>
    <x v="6"/>
    <x v="1"/>
    <s v="Table"/>
    <s v="Coffee Table"/>
    <n v="5"/>
    <n v="26481"/>
    <n v="132405"/>
    <n v="10592.4"/>
    <n v="121812.6"/>
    <x v="19"/>
    <x v="0"/>
    <x v="6"/>
  </r>
  <r>
    <x v="130"/>
    <x v="115"/>
    <x v="11"/>
    <x v="1"/>
    <x v="6"/>
    <x v="1"/>
    <s v="Chair"/>
    <s v="Wooden Chair"/>
    <n v="10"/>
    <n v="1790"/>
    <n v="17900"/>
    <n v="358"/>
    <n v="17542"/>
    <x v="8"/>
    <x v="1"/>
    <x v="6"/>
  </r>
  <r>
    <x v="131"/>
    <x v="105"/>
    <x v="1"/>
    <x v="2"/>
    <x v="3"/>
    <x v="0"/>
    <s v="Mobile"/>
    <s v="Redmi Note 12"/>
    <n v="8"/>
    <n v="16223"/>
    <n v="129784"/>
    <n v="25956.800000000003"/>
    <n v="103827.2"/>
    <x v="5"/>
    <x v="0"/>
    <x v="7"/>
  </r>
  <r>
    <x v="132"/>
    <x v="43"/>
    <x v="9"/>
    <x v="0"/>
    <x v="0"/>
    <x v="3"/>
    <s v="Jacket"/>
    <s v="Leather Jacket"/>
    <n v="4"/>
    <n v="30803"/>
    <n v="123212"/>
    <n v="16017.560000000001"/>
    <n v="107194.44"/>
    <x v="14"/>
    <x v="0"/>
    <x v="3"/>
  </r>
  <r>
    <x v="133"/>
    <x v="100"/>
    <x v="2"/>
    <x v="0"/>
    <x v="15"/>
    <x v="2"/>
    <s v="Snacks"/>
    <s v="Biscuits"/>
    <n v="2"/>
    <n v="28038"/>
    <n v="56076"/>
    <n v="2243.04"/>
    <n v="53832.959999999999"/>
    <x v="1"/>
    <x v="1"/>
    <x v="7"/>
  </r>
  <r>
    <x v="134"/>
    <x v="116"/>
    <x v="5"/>
    <x v="0"/>
    <x v="15"/>
    <x v="2"/>
    <s v="Rice"/>
    <s v="Sona Masoori"/>
    <n v="7"/>
    <n v="27126"/>
    <n v="189882"/>
    <n v="30381.119999999999"/>
    <n v="159500.88"/>
    <x v="10"/>
    <x v="0"/>
    <x v="5"/>
  </r>
  <r>
    <x v="135"/>
    <x v="114"/>
    <x v="8"/>
    <x v="1"/>
    <x v="10"/>
    <x v="1"/>
    <s v="Shelf"/>
    <s v="Wall Shelf"/>
    <n v="1"/>
    <n v="34167"/>
    <n v="34167"/>
    <n v="4783.38"/>
    <n v="29383.62"/>
    <x v="13"/>
    <x v="1"/>
    <x v="2"/>
  </r>
  <r>
    <x v="136"/>
    <x v="35"/>
    <x v="9"/>
    <x v="3"/>
    <x v="7"/>
    <x v="0"/>
    <s v="Monitor"/>
    <s v="Dell 24-inch"/>
    <n v="9"/>
    <n v="17362"/>
    <n v="156258"/>
    <n v="20313.54"/>
    <n v="135944.46"/>
    <x v="14"/>
    <x v="0"/>
    <x v="0"/>
  </r>
  <r>
    <x v="137"/>
    <x v="6"/>
    <x v="4"/>
    <x v="3"/>
    <x v="13"/>
    <x v="1"/>
    <s v="Sofa"/>
    <s v="3-Seater Sofa"/>
    <n v="5"/>
    <n v="29948"/>
    <n v="149740"/>
    <n v="20963.600000000002"/>
    <n v="128776.4"/>
    <x v="13"/>
    <x v="1"/>
    <x v="1"/>
  </r>
  <r>
    <x v="138"/>
    <x v="17"/>
    <x v="7"/>
    <x v="1"/>
    <x v="14"/>
    <x v="3"/>
    <s v="Jeans"/>
    <s v="Stretch Fit"/>
    <n v="4"/>
    <n v="36239"/>
    <n v="144956"/>
    <n v="23192.959999999999"/>
    <n v="121763.04000000001"/>
    <x v="10"/>
    <x v="0"/>
    <x v="4"/>
  </r>
  <r>
    <x v="139"/>
    <x v="82"/>
    <x v="8"/>
    <x v="0"/>
    <x v="11"/>
    <x v="1"/>
    <s v="Chair"/>
    <s v="Wooden Chair"/>
    <n v="10"/>
    <n v="49292"/>
    <n v="492920"/>
    <n v="29575.199999999997"/>
    <n v="463344.8"/>
    <x v="12"/>
    <x v="0"/>
    <x v="4"/>
  </r>
  <r>
    <x v="140"/>
    <x v="117"/>
    <x v="5"/>
    <x v="0"/>
    <x v="12"/>
    <x v="2"/>
    <s v="Rice"/>
    <s v="Basmati Rice"/>
    <n v="1"/>
    <n v="22773"/>
    <n v="22773"/>
    <n v="3188.2200000000003"/>
    <n v="19584.78"/>
    <x v="13"/>
    <x v="1"/>
    <x v="5"/>
  </r>
  <r>
    <x v="141"/>
    <x v="118"/>
    <x v="6"/>
    <x v="0"/>
    <x v="11"/>
    <x v="3"/>
    <s v="Shirt"/>
    <s v="Linen Shirt"/>
    <n v="3"/>
    <n v="14188"/>
    <n v="42564"/>
    <n v="6810.24"/>
    <n v="35753.760000000002"/>
    <x v="10"/>
    <x v="0"/>
    <x v="6"/>
  </r>
  <r>
    <x v="142"/>
    <x v="83"/>
    <x v="11"/>
    <x v="0"/>
    <x v="12"/>
    <x v="3"/>
    <s v="Jeans"/>
    <s v="Stretch Fit"/>
    <n v="10"/>
    <n v="24549"/>
    <n v="245490"/>
    <n v="22094.1"/>
    <n v="223395.9"/>
    <x v="16"/>
    <x v="0"/>
    <x v="4"/>
  </r>
  <r>
    <x v="143"/>
    <x v="21"/>
    <x v="3"/>
    <x v="3"/>
    <x v="7"/>
    <x v="0"/>
    <s v="Monitor"/>
    <s v="Samsung Curved"/>
    <n v="6"/>
    <n v="10360"/>
    <n v="62160"/>
    <n v="9324"/>
    <n v="52836"/>
    <x v="17"/>
    <x v="1"/>
    <x v="2"/>
  </r>
  <r>
    <x v="144"/>
    <x v="72"/>
    <x v="4"/>
    <x v="1"/>
    <x v="14"/>
    <x v="3"/>
    <s v="Shirt"/>
    <s v="Formal Shirt"/>
    <n v="4"/>
    <n v="48200"/>
    <n v="192800"/>
    <n v="38560"/>
    <n v="154240"/>
    <x v="5"/>
    <x v="0"/>
    <x v="2"/>
  </r>
  <r>
    <x v="145"/>
    <x v="103"/>
    <x v="2"/>
    <x v="3"/>
    <x v="13"/>
    <x v="0"/>
    <s v="Headphones"/>
    <s v="Sony WH-1000XM4"/>
    <n v="5"/>
    <n v="10817"/>
    <n v="54085"/>
    <n v="1622.55"/>
    <n v="52462.45"/>
    <x v="3"/>
    <x v="1"/>
    <x v="4"/>
  </r>
  <r>
    <x v="146"/>
    <x v="111"/>
    <x v="9"/>
    <x v="0"/>
    <x v="11"/>
    <x v="2"/>
    <s v="Milk"/>
    <s v="Cow Milk"/>
    <n v="1"/>
    <n v="21980"/>
    <n v="21980"/>
    <n v="2857.4"/>
    <n v="19122.599999999999"/>
    <x v="14"/>
    <x v="0"/>
    <x v="1"/>
  </r>
  <r>
    <x v="147"/>
    <x v="119"/>
    <x v="1"/>
    <x v="1"/>
    <x v="6"/>
    <x v="2"/>
    <s v="Oil"/>
    <s v="Sunflower Oil"/>
    <n v="2"/>
    <n v="32136"/>
    <n v="64272"/>
    <n v="2570.88"/>
    <n v="61701.120000000003"/>
    <x v="1"/>
    <x v="0"/>
    <x v="2"/>
  </r>
  <r>
    <x v="148"/>
    <x v="120"/>
    <x v="10"/>
    <x v="3"/>
    <x v="8"/>
    <x v="3"/>
    <s v="Jacket"/>
    <s v="Hooded Jacket"/>
    <n v="3"/>
    <n v="37470"/>
    <n v="112410"/>
    <n v="21357.9"/>
    <n v="91052.1"/>
    <x v="11"/>
    <x v="1"/>
    <x v="5"/>
  </r>
  <r>
    <x v="149"/>
    <x v="121"/>
    <x v="0"/>
    <x v="0"/>
    <x v="15"/>
    <x v="3"/>
    <s v="Shirt"/>
    <s v="Casual Shirt"/>
    <n v="1"/>
    <n v="13796"/>
    <n v="13796"/>
    <n v="551.84"/>
    <n v="13244.16"/>
    <x v="1"/>
    <x v="0"/>
    <x v="0"/>
  </r>
  <r>
    <x v="150"/>
    <x v="122"/>
    <x v="5"/>
    <x v="1"/>
    <x v="1"/>
    <x v="3"/>
    <s v="Jacket"/>
    <s v="Windcheater"/>
    <n v="2"/>
    <n v="12446"/>
    <n v="24892"/>
    <n v="2738.12"/>
    <n v="22153.88"/>
    <x v="7"/>
    <x v="1"/>
    <x v="5"/>
  </r>
  <r>
    <x v="151"/>
    <x v="123"/>
    <x v="1"/>
    <x v="0"/>
    <x v="15"/>
    <x v="3"/>
    <s v="Jeans"/>
    <s v="Stretch Fit"/>
    <n v="7"/>
    <n v="17303"/>
    <n v="121121"/>
    <n v="12112.1"/>
    <n v="109008.9"/>
    <x v="2"/>
    <x v="0"/>
    <x v="3"/>
  </r>
  <r>
    <x v="152"/>
    <x v="124"/>
    <x v="1"/>
    <x v="1"/>
    <x v="10"/>
    <x v="3"/>
    <s v="Jeans"/>
    <s v="Regular Fit"/>
    <n v="1"/>
    <n v="15192"/>
    <n v="15192"/>
    <n v="1519.2"/>
    <n v="13672.8"/>
    <x v="2"/>
    <x v="1"/>
    <x v="3"/>
  </r>
  <r>
    <x v="153"/>
    <x v="38"/>
    <x v="9"/>
    <x v="2"/>
    <x v="4"/>
    <x v="3"/>
    <s v="Jacket"/>
    <s v="Hooded Jacket"/>
    <n v="9"/>
    <n v="22046"/>
    <n v="198414"/>
    <n v="3968.28"/>
    <n v="194445.72"/>
    <x v="8"/>
    <x v="0"/>
    <x v="1"/>
  </r>
  <r>
    <x v="154"/>
    <x v="125"/>
    <x v="4"/>
    <x v="2"/>
    <x v="3"/>
    <x v="3"/>
    <s v="T-Shirt"/>
    <s v="Sports Tee"/>
    <n v="10"/>
    <n v="13866"/>
    <n v="138660"/>
    <n v="24958.799999999999"/>
    <n v="113701.2"/>
    <x v="4"/>
    <x v="1"/>
    <x v="1"/>
  </r>
  <r>
    <x v="155"/>
    <x v="126"/>
    <x v="10"/>
    <x v="0"/>
    <x v="0"/>
    <x v="0"/>
    <s v="Headphones"/>
    <s v="Sony WH-1000XM4"/>
    <n v="3"/>
    <n v="42716"/>
    <n v="128148"/>
    <n v="5125.92"/>
    <n v="123022.08"/>
    <x v="1"/>
    <x v="0"/>
    <x v="5"/>
  </r>
  <r>
    <x v="156"/>
    <x v="127"/>
    <x v="9"/>
    <x v="3"/>
    <x v="8"/>
    <x v="3"/>
    <s v="Jeans"/>
    <s v="Slim Fit"/>
    <n v="3"/>
    <n v="18391"/>
    <n v="55173"/>
    <n v="11034.6"/>
    <n v="44138.400000000001"/>
    <x v="5"/>
    <x v="1"/>
    <x v="6"/>
  </r>
  <r>
    <x v="157"/>
    <x v="128"/>
    <x v="5"/>
    <x v="0"/>
    <x v="11"/>
    <x v="1"/>
    <s v="Chair"/>
    <s v="Ergo Chair"/>
    <n v="3"/>
    <n v="24944"/>
    <n v="74832"/>
    <n v="8979.84"/>
    <n v="65852.160000000003"/>
    <x v="9"/>
    <x v="1"/>
    <x v="0"/>
  </r>
  <r>
    <x v="158"/>
    <x v="32"/>
    <x v="4"/>
    <x v="1"/>
    <x v="6"/>
    <x v="1"/>
    <s v="Table"/>
    <s v="Dining Table"/>
    <n v="7"/>
    <n v="38621"/>
    <n v="270347"/>
    <n v="51365.93"/>
    <n v="218981.07"/>
    <x v="11"/>
    <x v="1"/>
    <x v="2"/>
  </r>
  <r>
    <x v="159"/>
    <x v="129"/>
    <x v="8"/>
    <x v="3"/>
    <x v="9"/>
    <x v="0"/>
    <s v="Laptop"/>
    <s v="HP Pavilion"/>
    <n v="7"/>
    <n v="14633"/>
    <n v="102431"/>
    <n v="15364.65"/>
    <n v="87066.35"/>
    <x v="17"/>
    <x v="1"/>
    <x v="2"/>
  </r>
  <r>
    <x v="160"/>
    <x v="130"/>
    <x v="10"/>
    <x v="2"/>
    <x v="2"/>
    <x v="3"/>
    <s v="Shirt"/>
    <s v="Linen Shirt"/>
    <n v="2"/>
    <n v="12959"/>
    <n v="25918"/>
    <n v="259.18"/>
    <n v="25658.82"/>
    <x v="18"/>
    <x v="1"/>
    <x v="3"/>
  </r>
  <r>
    <x v="161"/>
    <x v="131"/>
    <x v="5"/>
    <x v="3"/>
    <x v="8"/>
    <x v="3"/>
    <s v="Jacket"/>
    <s v="Leather Jacket"/>
    <n v="8"/>
    <n v="31878"/>
    <n v="255024"/>
    <n v="45904.32"/>
    <n v="209119.68"/>
    <x v="4"/>
    <x v="0"/>
    <x v="3"/>
  </r>
  <r>
    <x v="162"/>
    <x v="106"/>
    <x v="6"/>
    <x v="3"/>
    <x v="13"/>
    <x v="1"/>
    <s v="Sofa"/>
    <s v="Fabric Sofa"/>
    <n v="10"/>
    <n v="48632"/>
    <n v="486320"/>
    <n v="43768.799999999996"/>
    <n v="442551.2"/>
    <x v="16"/>
    <x v="1"/>
    <x v="5"/>
  </r>
  <r>
    <x v="163"/>
    <x v="132"/>
    <x v="11"/>
    <x v="1"/>
    <x v="6"/>
    <x v="1"/>
    <s v="Table"/>
    <s v="Coffee Table"/>
    <n v="9"/>
    <n v="9040"/>
    <n v="81360"/>
    <n v="3254.4"/>
    <n v="78105.600000000006"/>
    <x v="1"/>
    <x v="0"/>
    <x v="1"/>
  </r>
  <r>
    <x v="164"/>
    <x v="133"/>
    <x v="4"/>
    <x v="0"/>
    <x v="0"/>
    <x v="0"/>
    <s v="Mobile"/>
    <s v="Samsung S21"/>
    <n v="1"/>
    <n v="43890"/>
    <n v="43890"/>
    <n v="8778"/>
    <n v="35112"/>
    <x v="5"/>
    <x v="0"/>
    <x v="2"/>
  </r>
  <r>
    <x v="165"/>
    <x v="11"/>
    <x v="2"/>
    <x v="2"/>
    <x v="5"/>
    <x v="0"/>
    <s v="Mobile"/>
    <s v="Redmi Note 12"/>
    <n v="6"/>
    <n v="1457"/>
    <n v="8742"/>
    <n v="1223.8800000000001"/>
    <n v="7518.12"/>
    <x v="13"/>
    <x v="0"/>
    <x v="1"/>
  </r>
  <r>
    <x v="166"/>
    <x v="130"/>
    <x v="10"/>
    <x v="3"/>
    <x v="9"/>
    <x v="0"/>
    <s v="Monitor"/>
    <s v="Samsung Curved"/>
    <n v="4"/>
    <n v="2250"/>
    <n v="9000"/>
    <n v="270"/>
    <n v="8730"/>
    <x v="3"/>
    <x v="0"/>
    <x v="4"/>
  </r>
  <r>
    <x v="167"/>
    <x v="134"/>
    <x v="8"/>
    <x v="3"/>
    <x v="9"/>
    <x v="1"/>
    <s v="Sofa"/>
    <s v="Fabric Sofa"/>
    <n v="6"/>
    <n v="34396"/>
    <n v="206376"/>
    <n v="22701.360000000001"/>
    <n v="183674.64"/>
    <x v="7"/>
    <x v="0"/>
    <x v="4"/>
  </r>
  <r>
    <x v="168"/>
    <x v="135"/>
    <x v="7"/>
    <x v="0"/>
    <x v="0"/>
    <x v="3"/>
    <s v="T-Shirt"/>
    <s v="Cotton Tee"/>
    <n v="9"/>
    <n v="5209"/>
    <n v="46881"/>
    <n v="8438.58"/>
    <n v="38442.42"/>
    <x v="4"/>
    <x v="0"/>
    <x v="0"/>
  </r>
  <r>
    <x v="169"/>
    <x v="88"/>
    <x v="10"/>
    <x v="1"/>
    <x v="14"/>
    <x v="1"/>
    <s v="Chair"/>
    <s v="Office Chair Pro"/>
    <n v="9"/>
    <n v="19599"/>
    <n v="176391"/>
    <n v="31750.379999999997"/>
    <n v="144640.62"/>
    <x v="4"/>
    <x v="1"/>
    <x v="3"/>
  </r>
  <r>
    <x v="170"/>
    <x v="136"/>
    <x v="7"/>
    <x v="3"/>
    <x v="8"/>
    <x v="0"/>
    <s v="Laptop"/>
    <s v="Acer Aspire 5"/>
    <n v="5"/>
    <n v="15421"/>
    <n v="77105"/>
    <n v="9252.6"/>
    <n v="67852.399999999994"/>
    <x v="9"/>
    <x v="0"/>
    <x v="0"/>
  </r>
  <r>
    <x v="171"/>
    <x v="62"/>
    <x v="1"/>
    <x v="3"/>
    <x v="7"/>
    <x v="2"/>
    <s v="Milk"/>
    <s v="Full Cream Milk"/>
    <n v="6"/>
    <n v="22509"/>
    <n v="135054"/>
    <n v="10804.32"/>
    <n v="124249.68"/>
    <x v="19"/>
    <x v="1"/>
    <x v="4"/>
  </r>
  <r>
    <x v="172"/>
    <x v="108"/>
    <x v="11"/>
    <x v="2"/>
    <x v="5"/>
    <x v="3"/>
    <s v="T-Shirt"/>
    <s v="Sports Tee"/>
    <n v="8"/>
    <n v="38709"/>
    <n v="309672"/>
    <n v="12386.880000000001"/>
    <n v="297285.12"/>
    <x v="1"/>
    <x v="1"/>
    <x v="0"/>
  </r>
  <r>
    <x v="173"/>
    <x v="137"/>
    <x v="5"/>
    <x v="1"/>
    <x v="6"/>
    <x v="2"/>
    <s v="Rice"/>
    <s v="Basmati Rice"/>
    <n v="10"/>
    <n v="34366"/>
    <n v="343660"/>
    <n v="54985.599999999999"/>
    <n v="288674.40000000002"/>
    <x v="10"/>
    <x v="1"/>
    <x v="7"/>
  </r>
  <r>
    <x v="174"/>
    <x v="138"/>
    <x v="11"/>
    <x v="0"/>
    <x v="0"/>
    <x v="3"/>
    <s v="Jacket"/>
    <s v="Hooded Jacket"/>
    <n v="2"/>
    <n v="25509"/>
    <n v="51018"/>
    <n v="1020.36"/>
    <n v="49997.64"/>
    <x v="8"/>
    <x v="0"/>
    <x v="3"/>
  </r>
  <r>
    <x v="175"/>
    <x v="139"/>
    <x v="2"/>
    <x v="1"/>
    <x v="10"/>
    <x v="3"/>
    <s v="Shirt"/>
    <s v="Formal Shirt"/>
    <n v="10"/>
    <n v="17752"/>
    <n v="177520"/>
    <n v="3550.4"/>
    <n v="173969.6"/>
    <x v="8"/>
    <x v="0"/>
    <x v="3"/>
  </r>
  <r>
    <x v="176"/>
    <x v="80"/>
    <x v="2"/>
    <x v="0"/>
    <x v="11"/>
    <x v="2"/>
    <s v="Snacks"/>
    <s v="Biscuits"/>
    <n v="6"/>
    <n v="15623"/>
    <n v="93738"/>
    <n v="6561.6600000000008"/>
    <n v="87176.34"/>
    <x v="0"/>
    <x v="0"/>
    <x v="5"/>
  </r>
  <r>
    <x v="177"/>
    <x v="140"/>
    <x v="8"/>
    <x v="3"/>
    <x v="7"/>
    <x v="2"/>
    <s v="Milk"/>
    <s v="Cow Milk"/>
    <n v="1"/>
    <n v="32685"/>
    <n v="32685"/>
    <n v="2941.65"/>
    <n v="29743.35"/>
    <x v="16"/>
    <x v="0"/>
    <x v="0"/>
  </r>
  <r>
    <x v="178"/>
    <x v="130"/>
    <x v="10"/>
    <x v="2"/>
    <x v="3"/>
    <x v="3"/>
    <s v="Jeans"/>
    <s v="Slim Fit"/>
    <n v="4"/>
    <n v="9686"/>
    <n v="38744"/>
    <n v="4649.28"/>
    <n v="34094.720000000001"/>
    <x v="9"/>
    <x v="0"/>
    <x v="7"/>
  </r>
  <r>
    <x v="179"/>
    <x v="141"/>
    <x v="9"/>
    <x v="2"/>
    <x v="5"/>
    <x v="2"/>
    <s v="Oil"/>
    <s v="Olive Oil"/>
    <n v="9"/>
    <n v="33987"/>
    <n v="305883"/>
    <n v="27529.469999999998"/>
    <n v="278353.53000000003"/>
    <x v="16"/>
    <x v="1"/>
    <x v="5"/>
  </r>
  <r>
    <x v="180"/>
    <x v="43"/>
    <x v="9"/>
    <x v="1"/>
    <x v="6"/>
    <x v="0"/>
    <s v="Laptop"/>
    <s v="Dell Inspiron"/>
    <n v="1"/>
    <n v="1413"/>
    <n v="1413"/>
    <n v="84.78"/>
    <n v="1328.22"/>
    <x v="12"/>
    <x v="0"/>
    <x v="2"/>
  </r>
  <r>
    <x v="181"/>
    <x v="142"/>
    <x v="7"/>
    <x v="3"/>
    <x v="8"/>
    <x v="2"/>
    <s v="Oil"/>
    <s v="Olive Oil"/>
    <n v="7"/>
    <n v="20994"/>
    <n v="146958"/>
    <n v="24982.86"/>
    <n v="121975.14"/>
    <x v="20"/>
    <x v="1"/>
    <x v="0"/>
  </r>
  <r>
    <x v="182"/>
    <x v="143"/>
    <x v="9"/>
    <x v="0"/>
    <x v="15"/>
    <x v="3"/>
    <s v="T-Shirt"/>
    <s v="Sports Tee"/>
    <n v="7"/>
    <n v="26427"/>
    <n v="184989"/>
    <n v="20348.79"/>
    <n v="164640.21"/>
    <x v="7"/>
    <x v="1"/>
    <x v="0"/>
  </r>
  <r>
    <x v="183"/>
    <x v="8"/>
    <x v="1"/>
    <x v="1"/>
    <x v="1"/>
    <x v="1"/>
    <s v="Sofa"/>
    <s v="3-Seater Sofa"/>
    <n v="5"/>
    <n v="27705"/>
    <n v="138525"/>
    <n v="0"/>
    <n v="138525"/>
    <x v="6"/>
    <x v="1"/>
    <x v="1"/>
  </r>
  <r>
    <x v="184"/>
    <x v="129"/>
    <x v="8"/>
    <x v="3"/>
    <x v="8"/>
    <x v="1"/>
    <s v="Sofa"/>
    <s v="3-Seater Sofa"/>
    <n v="1"/>
    <n v="1050"/>
    <n v="1050"/>
    <n v="84"/>
    <n v="966"/>
    <x v="19"/>
    <x v="0"/>
    <x v="3"/>
  </r>
  <r>
    <x v="185"/>
    <x v="3"/>
    <x v="3"/>
    <x v="2"/>
    <x v="3"/>
    <x v="3"/>
    <s v="Shirt"/>
    <s v="Linen Shirt"/>
    <n v="6"/>
    <n v="41673"/>
    <n v="250038"/>
    <n v="2500.38"/>
    <n v="247537.62"/>
    <x v="18"/>
    <x v="0"/>
    <x v="4"/>
  </r>
  <r>
    <x v="186"/>
    <x v="144"/>
    <x v="8"/>
    <x v="1"/>
    <x v="14"/>
    <x v="2"/>
    <s v="Snacks"/>
    <s v="Nachos"/>
    <n v="9"/>
    <n v="37083"/>
    <n v="333747"/>
    <n v="13349.880000000001"/>
    <n v="320397.12"/>
    <x v="1"/>
    <x v="1"/>
    <x v="7"/>
  </r>
  <r>
    <x v="187"/>
    <x v="1"/>
    <x v="1"/>
    <x v="0"/>
    <x v="11"/>
    <x v="0"/>
    <s v="Laptop"/>
    <s v="Dell Inspiron"/>
    <n v="6"/>
    <n v="20936"/>
    <n v="125616"/>
    <n v="8793.1200000000008"/>
    <n v="116822.88"/>
    <x v="0"/>
    <x v="0"/>
    <x v="6"/>
  </r>
  <r>
    <x v="188"/>
    <x v="145"/>
    <x v="2"/>
    <x v="2"/>
    <x v="2"/>
    <x v="1"/>
    <s v="Chair"/>
    <s v="Ergo Chair"/>
    <n v="1"/>
    <n v="676"/>
    <n v="676"/>
    <n v="0"/>
    <n v="676"/>
    <x v="6"/>
    <x v="0"/>
    <x v="4"/>
  </r>
  <r>
    <x v="189"/>
    <x v="90"/>
    <x v="11"/>
    <x v="3"/>
    <x v="9"/>
    <x v="2"/>
    <s v="Oil"/>
    <s v="Sunflower Oil"/>
    <n v="2"/>
    <n v="47109"/>
    <n v="94218"/>
    <n v="14132.699999999999"/>
    <n v="80085.3"/>
    <x v="17"/>
    <x v="0"/>
    <x v="7"/>
  </r>
  <r>
    <x v="190"/>
    <x v="146"/>
    <x v="6"/>
    <x v="0"/>
    <x v="15"/>
    <x v="3"/>
    <s v="Jacket"/>
    <s v="Windcheater"/>
    <n v="7"/>
    <n v="17133"/>
    <n v="119931"/>
    <n v="7195.86"/>
    <n v="112735.14"/>
    <x v="12"/>
    <x v="0"/>
    <x v="3"/>
  </r>
  <r>
    <x v="191"/>
    <x v="87"/>
    <x v="1"/>
    <x v="3"/>
    <x v="9"/>
    <x v="1"/>
    <s v="Chair"/>
    <s v="Wooden Chair"/>
    <n v="5"/>
    <n v="17004"/>
    <n v="85020"/>
    <n v="4251"/>
    <n v="80769"/>
    <x v="15"/>
    <x v="0"/>
    <x v="6"/>
  </r>
  <r>
    <x v="192"/>
    <x v="147"/>
    <x v="4"/>
    <x v="3"/>
    <x v="8"/>
    <x v="3"/>
    <s v="Shirt"/>
    <s v="Casual Shirt"/>
    <n v="8"/>
    <n v="39371"/>
    <n v="314968"/>
    <n v="56694.239999999998"/>
    <n v="258273.76"/>
    <x v="4"/>
    <x v="1"/>
    <x v="5"/>
  </r>
  <r>
    <x v="193"/>
    <x v="36"/>
    <x v="9"/>
    <x v="3"/>
    <x v="8"/>
    <x v="1"/>
    <s v="Sofa"/>
    <s v="Fabric Sofa"/>
    <n v="1"/>
    <n v="29158"/>
    <n v="29158"/>
    <n v="3207.38"/>
    <n v="25950.62"/>
    <x v="7"/>
    <x v="1"/>
    <x v="2"/>
  </r>
  <r>
    <x v="194"/>
    <x v="148"/>
    <x v="1"/>
    <x v="0"/>
    <x v="12"/>
    <x v="3"/>
    <s v="Jeans"/>
    <s v="Slim Fit"/>
    <n v="3"/>
    <n v="3114"/>
    <n v="9342"/>
    <n v="1401.3"/>
    <n v="7940.7"/>
    <x v="17"/>
    <x v="1"/>
    <x v="6"/>
  </r>
  <r>
    <x v="195"/>
    <x v="149"/>
    <x v="11"/>
    <x v="1"/>
    <x v="6"/>
    <x v="2"/>
    <s v="Oil"/>
    <s v="Sunflower Oil"/>
    <n v="10"/>
    <n v="26511"/>
    <n v="265110"/>
    <n v="13255.5"/>
    <n v="251854.5"/>
    <x v="15"/>
    <x v="0"/>
    <x v="6"/>
  </r>
  <r>
    <x v="196"/>
    <x v="150"/>
    <x v="10"/>
    <x v="2"/>
    <x v="5"/>
    <x v="3"/>
    <s v="Jacket"/>
    <s v="Hooded Jacket"/>
    <n v="8"/>
    <n v="44501"/>
    <n v="356008"/>
    <n v="67641.52"/>
    <n v="288366.48"/>
    <x v="11"/>
    <x v="0"/>
    <x v="7"/>
  </r>
  <r>
    <x v="197"/>
    <x v="151"/>
    <x v="3"/>
    <x v="2"/>
    <x v="5"/>
    <x v="3"/>
    <s v="Jacket"/>
    <s v="Hooded Jacket"/>
    <n v="4"/>
    <n v="14660"/>
    <n v="58640"/>
    <n v="2345.6"/>
    <n v="56294.400000000001"/>
    <x v="1"/>
    <x v="1"/>
    <x v="6"/>
  </r>
  <r>
    <x v="198"/>
    <x v="152"/>
    <x v="9"/>
    <x v="3"/>
    <x v="13"/>
    <x v="0"/>
    <s v="Monitor"/>
    <s v="LG UltraWide"/>
    <n v="5"/>
    <n v="21924"/>
    <n v="109620"/>
    <n v="18635.400000000001"/>
    <n v="90984.6"/>
    <x v="20"/>
    <x v="0"/>
    <x v="2"/>
  </r>
  <r>
    <x v="199"/>
    <x v="153"/>
    <x v="3"/>
    <x v="3"/>
    <x v="9"/>
    <x v="3"/>
    <s v="Jacket"/>
    <s v="Leather Jacket"/>
    <n v="7"/>
    <n v="43886"/>
    <n v="307202"/>
    <n v="21504.140000000003"/>
    <n v="285697.86"/>
    <x v="0"/>
    <x v="1"/>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A688C8-F3CA-4925-B5DB-1EE345DAD2A8}"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9:C240" firstHeaderRow="0" firstDataRow="1" firstDataCol="1"/>
  <pivotFields count="16">
    <pivotField axis="axisRow"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numFmtId="1" showAll="0"/>
    <pivotField showAll="0"/>
    <pivotField showAll="0"/>
    <pivotField showAll="0">
      <items count="5">
        <item x="3"/>
        <item x="0"/>
        <item x="1"/>
        <item x="2"/>
        <item t="default"/>
      </items>
    </pivotField>
    <pivotField showAll="0"/>
    <pivotField showAll="0"/>
    <pivotField showAll="0"/>
    <pivotField showAll="0"/>
    <pivotField dataField="1" showAll="0"/>
    <pivotField showAll="0"/>
    <pivotField showAll="0"/>
    <pivotField dataField="1" showAll="0">
      <items count="22">
        <item x="6"/>
        <item x="18"/>
        <item x="8"/>
        <item x="3"/>
        <item x="1"/>
        <item x="15"/>
        <item x="12"/>
        <item x="0"/>
        <item x="19"/>
        <item x="16"/>
        <item x="2"/>
        <item x="7"/>
        <item x="9"/>
        <item x="14"/>
        <item x="13"/>
        <item x="17"/>
        <item x="10"/>
        <item x="20"/>
        <item x="4"/>
        <item x="11"/>
        <item x="5"/>
        <item t="default"/>
      </items>
    </pivotField>
    <pivotField showAll="0">
      <items count="3">
        <item x="1"/>
        <item x="0"/>
        <item t="default"/>
      </items>
    </pivotField>
    <pivotField showAll="0">
      <items count="9">
        <item x="4"/>
        <item x="1"/>
        <item x="0"/>
        <item x="7"/>
        <item x="3"/>
        <item x="2"/>
        <item x="6"/>
        <item x="5"/>
        <item t="default"/>
      </items>
    </pivotField>
  </pivotFields>
  <rowFields count="1">
    <field x="0"/>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t="grand">
      <x/>
    </i>
  </rowItems>
  <colFields count="1">
    <field x="-2"/>
  </colFields>
  <colItems count="2">
    <i>
      <x/>
    </i>
    <i i="1">
      <x v="1"/>
    </i>
  </colItems>
  <dataFields count="2">
    <dataField name="Sum of Sales" fld="10" baseField="0" baseItem="0"/>
    <dataField name="Average of Discount" fld="13" subtotal="average" baseField="0" baseItem="1"/>
  </dataFields>
  <formats count="14">
    <format dxfId="100">
      <pivotArea type="all" dataOnly="0" outline="0" fieldPosition="0"/>
    </format>
    <format dxfId="99">
      <pivotArea outline="0" collapsedLevelsAreSubtotals="1" fieldPosition="0"/>
    </format>
    <format dxfId="98">
      <pivotArea field="13" type="button" dataOnly="0" labelOnly="1" outline="0"/>
    </format>
    <format dxfId="97">
      <pivotArea dataOnly="0" labelOnly="1" grandRow="1" outline="0"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0" type="button" dataOnly="0" labelOnly="1" outline="0" axis="axisRow" fieldPosition="0"/>
    </format>
    <format dxfId="92">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1">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90">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89">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88">
      <pivotArea dataOnly="0" labelOnly="1" grandRow="1" outline="0" fieldPosition="0"/>
    </format>
    <format dxfId="8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C0A899-7114-4172-BA87-12A2999FD5D7}"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B19" firstHeaderRow="1" firstDataRow="1" firstDataCol="1"/>
  <pivotFields count="16">
    <pivotField showAll="0"/>
    <pivotField showAll="0"/>
    <pivotField numFmtId="1" showAll="0"/>
    <pivotField showAll="0"/>
    <pivotField axis="axisRow" showAll="0" measureFilter="1" sortType="ascending">
      <items count="17">
        <item x="12"/>
        <item x="0"/>
        <item x="1"/>
        <item x="7"/>
        <item x="9"/>
        <item x="6"/>
        <item x="5"/>
        <item x="3"/>
        <item x="13"/>
        <item x="15"/>
        <item x="10"/>
        <item x="8"/>
        <item x="2"/>
        <item x="4"/>
        <item x="14"/>
        <item x="11"/>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showAll="0"/>
    <pivotField showAll="0"/>
    <pivotField showAll="0"/>
    <pivotField showAll="0"/>
    <pivotField showAll="0"/>
    <pivotField showAll="0"/>
    <pivotField dataField="1" showAll="0"/>
    <pivotField showAll="0"/>
    <pivotField showAll="0">
      <items count="3">
        <item x="1"/>
        <item x="0"/>
        <item t="default"/>
      </items>
    </pivotField>
    <pivotField showAll="0">
      <items count="9">
        <item x="4"/>
        <item x="1"/>
        <item x="0"/>
        <item x="7"/>
        <item x="3"/>
        <item x="2"/>
        <item x="6"/>
        <item x="5"/>
        <item t="default"/>
      </items>
    </pivotField>
  </pivotFields>
  <rowFields count="1">
    <field x="4"/>
  </rowFields>
  <rowItems count="6">
    <i>
      <x v="2"/>
    </i>
    <i>
      <x v="7"/>
    </i>
    <i>
      <x v="11"/>
    </i>
    <i>
      <x v="8"/>
    </i>
    <i>
      <x v="5"/>
    </i>
    <i t="grand">
      <x/>
    </i>
  </rowItems>
  <colItems count="1">
    <i/>
  </colItems>
  <dataFields count="1">
    <dataField name="Sum of Sales_after_discount" fld="12" baseField="0" baseItem="0"/>
  </dataFields>
  <formats count="9">
    <format dxfId="109">
      <pivotArea collapsedLevelsAreSubtotals="1" fieldPosition="0">
        <references count="1">
          <reference field="4" count="1">
            <x v="2"/>
          </reference>
        </references>
      </pivotArea>
    </format>
    <format dxfId="108">
      <pivotArea collapsedLevelsAreSubtotals="1" fieldPosition="0">
        <references count="1">
          <reference field="4" count="4">
            <x v="5"/>
            <x v="7"/>
            <x v="8"/>
            <x v="11"/>
          </reference>
        </references>
      </pivotArea>
    </format>
    <format dxfId="107">
      <pivotArea grandRow="1" outline="0" collapsedLevelsAreSubtotals="1" fieldPosition="0"/>
    </format>
    <format dxfId="106">
      <pivotArea type="all" dataOnly="0" outline="0" fieldPosition="0"/>
    </format>
    <format dxfId="105">
      <pivotArea outline="0" collapsedLevelsAreSubtotals="1" fieldPosition="0"/>
    </format>
    <format dxfId="104">
      <pivotArea field="4" type="button" dataOnly="0" labelOnly="1" outline="0" axis="axisRow" fieldPosition="0"/>
    </format>
    <format dxfId="103">
      <pivotArea dataOnly="0" labelOnly="1" fieldPosition="0">
        <references count="1">
          <reference field="4" count="5">
            <x v="2"/>
            <x v="5"/>
            <x v="7"/>
            <x v="8"/>
            <x v="11"/>
          </reference>
        </references>
      </pivotArea>
    </format>
    <format dxfId="102">
      <pivotArea dataOnly="0" labelOnly="1" grandRow="1" outline="0" fieldPosition="0"/>
    </format>
    <format dxfId="10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BA8106-DEB4-416B-9F71-668D1CA471D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16">
    <pivotField showAll="0"/>
    <pivotField showAll="0"/>
    <pivotField numFmtId="1" showAll="0"/>
    <pivotField axis="axisRow" showAll="0">
      <items count="5">
        <item x="0"/>
        <item x="1"/>
        <item x="2"/>
        <item x="3"/>
        <item t="default"/>
      </items>
    </pivotField>
    <pivotField showAll="0"/>
    <pivotField showAll="0">
      <items count="5">
        <item x="3"/>
        <item x="0"/>
        <item x="1"/>
        <item x="2"/>
        <item t="default"/>
      </items>
    </pivotField>
    <pivotField showAll="0"/>
    <pivotField showAll="0"/>
    <pivotField dataField="1" showAll="0"/>
    <pivotField showAll="0"/>
    <pivotField showAll="0"/>
    <pivotField showAll="0"/>
    <pivotField dataField="1" showAll="0"/>
    <pivotField showAll="0"/>
    <pivotField showAll="0">
      <items count="3">
        <item x="1"/>
        <item x="0"/>
        <item t="default"/>
      </items>
    </pivotField>
    <pivotField showAll="0">
      <items count="9">
        <item x="4"/>
        <item x="1"/>
        <item x="0"/>
        <item x="7"/>
        <item x="3"/>
        <item x="2"/>
        <item x="6"/>
        <item x="5"/>
        <item t="default"/>
      </items>
    </pivotField>
  </pivotFields>
  <rowFields count="1">
    <field x="3"/>
  </rowFields>
  <rowItems count="5">
    <i>
      <x/>
    </i>
    <i>
      <x v="1"/>
    </i>
    <i>
      <x v="2"/>
    </i>
    <i>
      <x v="3"/>
    </i>
    <i t="grand">
      <x/>
    </i>
  </rowItems>
  <colFields count="1">
    <field x="-2"/>
  </colFields>
  <colItems count="2">
    <i>
      <x/>
    </i>
    <i i="1">
      <x v="1"/>
    </i>
  </colItems>
  <dataFields count="2">
    <dataField name="Sum of Quantity" fld="8" baseField="0" baseItem="0"/>
    <dataField name="Sum of Sales_after_disc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E12FF5-983D-4A90-9CA4-F0FBA03940E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6:B38" firstHeaderRow="1" firstDataRow="1" firstDataCol="1"/>
  <pivotFields count="16">
    <pivotField showAll="0"/>
    <pivotField showAll="0"/>
    <pivotField numFmtId="1"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measureFilter="1">
      <items count="9">
        <item x="4"/>
        <item x="1"/>
        <item x="0"/>
        <item x="7"/>
        <item x="3"/>
        <item x="2"/>
        <item x="6"/>
        <item x="5"/>
        <item t="default"/>
      </items>
    </pivotField>
  </pivotFields>
  <rowFields count="1">
    <field x="15"/>
  </rowFields>
  <rowItems count="2">
    <i>
      <x v="7"/>
    </i>
    <i t="grand">
      <x/>
    </i>
  </rowItems>
  <colItems count="1">
    <i/>
  </colItems>
  <dataFields count="1">
    <dataField name="Sum of Sales_after_discount" fld="12" baseField="14" baseItem="0" numFmtId="166"/>
  </dataFields>
  <formats count="7">
    <format dxfId="62">
      <pivotArea outline="0" collapsedLevelsAreSubtotals="1" fieldPosition="0"/>
    </format>
    <format dxfId="61">
      <pivotArea type="all" dataOnly="0" outline="0" fieldPosition="0"/>
    </format>
    <format dxfId="60">
      <pivotArea outline="0" collapsedLevelsAreSubtotals="1" fieldPosition="0"/>
    </format>
    <format dxfId="59">
      <pivotArea field="15" type="button" dataOnly="0" labelOnly="1" outline="0" axis="axisRow" fieldPosition="0"/>
    </format>
    <format dxfId="58">
      <pivotArea dataOnly="0" labelOnly="1" fieldPosition="0">
        <references count="1">
          <reference field="15" count="1">
            <x v="7"/>
          </reference>
        </references>
      </pivotArea>
    </format>
    <format dxfId="57">
      <pivotArea dataOnly="0" labelOnly="1" grandRow="1" outline="0" fieldPosition="0"/>
    </format>
    <format dxfId="5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E5B254-6A1A-4EA0-A93C-48DC89A8429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B27" firstHeaderRow="1" firstDataRow="1" firstDataCol="1"/>
  <pivotFields count="16">
    <pivotField showAll="0"/>
    <pivotField showAll="0"/>
    <pivotField numFmtId="1"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9">
        <item x="4"/>
        <item x="1"/>
        <item x="0"/>
        <item x="7"/>
        <item x="3"/>
        <item x="2"/>
        <item x="6"/>
        <item x="5"/>
        <item t="default"/>
      </items>
    </pivotField>
  </pivotFields>
  <rowFields count="1">
    <field x="15"/>
  </rowFields>
  <rowItems count="9">
    <i>
      <x/>
    </i>
    <i>
      <x v="1"/>
    </i>
    <i>
      <x v="2"/>
    </i>
    <i>
      <x v="3"/>
    </i>
    <i>
      <x v="4"/>
    </i>
    <i>
      <x v="5"/>
    </i>
    <i>
      <x v="6"/>
    </i>
    <i>
      <x v="7"/>
    </i>
    <i t="grand">
      <x/>
    </i>
  </rowItems>
  <colItems count="1">
    <i/>
  </colItems>
  <dataFields count="1">
    <dataField name="Sum of Sales_after_discount" fld="12" baseField="0" baseItem="0" numFmtId="166"/>
  </dataFields>
  <formats count="7">
    <format dxfId="69">
      <pivotArea outline="0" collapsedLevelsAreSubtotals="1" fieldPosition="0"/>
    </format>
    <format dxfId="68">
      <pivotArea type="all" dataOnly="0" outline="0" fieldPosition="0"/>
    </format>
    <format dxfId="67">
      <pivotArea outline="0" collapsedLevelsAreSubtotals="1" fieldPosition="0"/>
    </format>
    <format dxfId="66">
      <pivotArea field="15" type="button" dataOnly="0" labelOnly="1" outline="0" axis="axisRow" fieldPosition="0"/>
    </format>
    <format dxfId="65">
      <pivotArea dataOnly="0" labelOnly="1" fieldPosition="0">
        <references count="1">
          <reference field="15" count="0"/>
        </references>
      </pivotArea>
    </format>
    <format dxfId="64">
      <pivotArea dataOnly="0" labelOnly="1" grandRow="1" outline="0" fieldPosition="0"/>
    </format>
    <format dxfId="6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D76FD4-2A49-4FC5-A488-AE902485DBD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2" firstHeaderRow="0" firstDataRow="1" firstDataCol="1"/>
  <pivotFields count="16">
    <pivotField dataField="1" showAll="0"/>
    <pivotField showAll="0"/>
    <pivotField numFmtId="1"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axis="axisRow" showAll="0">
      <items count="9">
        <item x="4"/>
        <item x="1"/>
        <item x="0"/>
        <item x="7"/>
        <item x="3"/>
        <item x="2"/>
        <item x="6"/>
        <item x="5"/>
        <item t="default"/>
      </items>
    </pivotField>
  </pivotFields>
  <rowFields count="1">
    <field x="15"/>
  </rowFields>
  <rowItems count="9">
    <i>
      <x/>
    </i>
    <i>
      <x v="1"/>
    </i>
    <i>
      <x v="2"/>
    </i>
    <i>
      <x v="3"/>
    </i>
    <i>
      <x v="4"/>
    </i>
    <i>
      <x v="5"/>
    </i>
    <i>
      <x v="6"/>
    </i>
    <i>
      <x v="7"/>
    </i>
    <i t="grand">
      <x/>
    </i>
  </rowItems>
  <colFields count="1">
    <field x="-2"/>
  </colFields>
  <colItems count="3">
    <i>
      <x/>
    </i>
    <i i="1">
      <x v="1"/>
    </i>
    <i i="2">
      <x v="2"/>
    </i>
  </colItems>
  <dataFields count="3">
    <dataField name="Sum of Sales_after_discount" fld="12" baseField="0" baseItem="0" numFmtId="166"/>
    <dataField name="Average of Discount" fld="13" subtotal="average" baseField="14" baseItem="0" numFmtId="2"/>
    <dataField name="Count of OrderID" fld="0" subtotal="count" baseField="14" baseItem="0"/>
  </dataFields>
  <formats count="2">
    <format dxfId="71">
      <pivotArea outline="0" collapsedLevelsAreSubtotals="1" fieldPosition="0">
        <references count="1">
          <reference field="4294967294" count="1" selected="0">
            <x v="1"/>
          </reference>
        </references>
      </pivotArea>
    </format>
    <format dxfId="7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C7FD73-7958-4F7D-BF39-9EA5EAFBCBB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0:B59" firstHeaderRow="1" firstDataRow="1" firstDataCol="1"/>
  <pivotFields count="16">
    <pivotField showAll="0"/>
    <pivotField showAll="0"/>
    <pivotField numFmtId="1"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9">
        <item x="4"/>
        <item x="1"/>
        <item x="0"/>
        <item x="7"/>
        <item x="3"/>
        <item x="2"/>
        <item x="6"/>
        <item x="5"/>
        <item t="default"/>
      </items>
    </pivotField>
  </pivotFields>
  <rowFields count="1">
    <field x="15"/>
  </rowFields>
  <rowItems count="9">
    <i>
      <x/>
    </i>
    <i>
      <x v="1"/>
    </i>
    <i>
      <x v="2"/>
    </i>
    <i>
      <x v="3"/>
    </i>
    <i>
      <x v="4"/>
    </i>
    <i>
      <x v="5"/>
    </i>
    <i>
      <x v="6"/>
    </i>
    <i>
      <x v="7"/>
    </i>
    <i t="grand">
      <x/>
    </i>
  </rowItems>
  <colItems count="1">
    <i/>
  </colItems>
  <dataFields count="1">
    <dataField name="Sum of Quantity" fld="8" baseField="14" baseItem="2"/>
  </dataFields>
  <formats count="7">
    <format dxfId="78">
      <pivotArea outline="0" collapsedLevelsAreSubtotals="1" fieldPosition="0"/>
    </format>
    <format dxfId="77">
      <pivotArea type="all" dataOnly="0" outline="0" fieldPosition="0"/>
    </format>
    <format dxfId="76">
      <pivotArea outline="0" collapsedLevelsAreSubtotals="1" fieldPosition="0"/>
    </format>
    <format dxfId="75">
      <pivotArea field="15" type="button" dataOnly="0" labelOnly="1" outline="0" axis="axisRow" fieldPosition="0"/>
    </format>
    <format dxfId="74">
      <pivotArea dataOnly="0" labelOnly="1" fieldPosition="0">
        <references count="1">
          <reference field="15" count="0"/>
        </references>
      </pivotArea>
    </format>
    <format dxfId="73">
      <pivotArea dataOnly="0" labelOnly="1" grandRow="1" outline="0" fieldPosition="0"/>
    </format>
    <format dxfId="72">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E20028-F1E9-47B8-B050-9F4BA9E20EA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6:A47" firstHeaderRow="1" firstDataRow="1" firstDataCol="0"/>
  <pivotFields count="16">
    <pivotField showAll="0"/>
    <pivotField showAll="0"/>
    <pivotField numFmtI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Sales_after_discount" fld="12" subtotal="average" baseField="0" baseItem="0" numFmtId="165"/>
  </dataFields>
  <formats count="4">
    <format dxfId="82">
      <pivotArea outline="0" collapsedLevelsAreSubtotals="1" fieldPosition="0"/>
    </format>
    <format dxfId="81">
      <pivotArea type="all" dataOnly="0" outline="0" fieldPosition="0"/>
    </format>
    <format dxfId="80">
      <pivotArea outline="0" collapsedLevelsAreSubtotals="1" fieldPosition="0"/>
    </format>
    <format dxfId="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494C08-4917-40AC-953D-6387B301BD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2:A43" firstHeaderRow="1" firstDataRow="1" firstDataCol="0"/>
  <pivotFields count="16">
    <pivotField dataField="1"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ID" fld="0" subtotal="count" baseField="14" baseItem="0"/>
  </dataFields>
  <formats count="4">
    <format dxfId="86">
      <pivotArea outline="0" collapsedLevelsAreSubtotals="1" fieldPosition="0"/>
    </format>
    <format dxfId="85">
      <pivotArea type="all" dataOnly="0" outline="0" fieldPosition="0"/>
    </format>
    <format dxfId="84">
      <pivotArea outline="0" collapsedLevelsAreSubtotals="1" fieldPosition="0"/>
    </format>
    <format dxfId="8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7A9834-3643-44CA-9EE6-FBFDBBFC651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6">
    <pivotField showAll="0"/>
    <pivotField showAll="0"/>
    <pivotField numFmtId="1" showAll="0"/>
    <pivotField showAll="0">
      <items count="5">
        <item x="0"/>
        <item x="1"/>
        <item x="2"/>
        <item x="3"/>
        <item t="default"/>
      </items>
    </pivotField>
    <pivotField showAll="0"/>
    <pivotField showAll="0">
      <items count="5">
        <item x="3"/>
        <item x="0"/>
        <item x="1"/>
        <item x="2"/>
        <item t="default"/>
      </items>
    </pivotField>
    <pivotField showAll="0"/>
    <pivotField showAll="0"/>
    <pivotField dataField="1" showAll="0"/>
    <pivotField showAll="0"/>
    <pivotField showAll="0"/>
    <pivotField showAll="0"/>
    <pivotField showAll="0"/>
    <pivotField showAll="0"/>
    <pivotField showAll="0"/>
    <pivotField showAll="0">
      <items count="9">
        <item x="4"/>
        <item x="1"/>
        <item x="0"/>
        <item x="7"/>
        <item x="3"/>
        <item x="2"/>
        <item x="6"/>
        <item x="5"/>
        <item t="default"/>
      </items>
    </pivotField>
  </pivotFields>
  <rowItems count="1">
    <i/>
  </rowItems>
  <colItems count="1">
    <i/>
  </colItems>
  <dataFields count="1">
    <dataField name="Sum of Quantity" fld="8" baseField="0" baseItem="0"/>
  </dataFields>
  <formats count="4">
    <format dxfId="13">
      <pivotArea outline="0" collapsedLevelsAreSubtotals="1" fieldPosition="0"/>
    </format>
    <format dxfId="12">
      <pivotArea type="all" dataOnly="0" outline="0" fieldPosition="0"/>
    </format>
    <format dxfId="11">
      <pivotArea outline="0" collapsedLevelsAreSubtotals="1" fieldPosition="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2DA908-17E8-4920-8C68-DF6749E9AA5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5:B60" firstHeaderRow="1" firstDataRow="1" firstDataCol="1"/>
  <pivotFields count="16">
    <pivotField showAll="0"/>
    <pivotField showAll="0"/>
    <pivotField numFmtId="1" showAll="0"/>
    <pivotField axis="axisRow" showAll="0">
      <items count="5">
        <item x="0"/>
        <item x="1"/>
        <item x="2"/>
        <item x="3"/>
        <item t="default"/>
      </items>
    </pivotField>
    <pivotField showAll="0"/>
    <pivotField showAll="0">
      <items count="5">
        <item x="3"/>
        <item x="0"/>
        <item x="1"/>
        <item x="2"/>
        <item t="default"/>
      </items>
    </pivotField>
    <pivotField showAll="0"/>
    <pivotField showAll="0"/>
    <pivotField showAll="0"/>
    <pivotField showAll="0"/>
    <pivotField showAll="0"/>
    <pivotField showAll="0"/>
    <pivotField dataField="1" showAll="0"/>
    <pivotField showAll="0"/>
    <pivotField showAll="0"/>
    <pivotField showAll="0">
      <items count="9">
        <item x="4"/>
        <item x="1"/>
        <item x="0"/>
        <item x="7"/>
        <item x="3"/>
        <item x="2"/>
        <item x="6"/>
        <item x="5"/>
        <item t="default"/>
      </items>
    </pivotField>
  </pivotFields>
  <rowFields count="1">
    <field x="3"/>
  </rowFields>
  <rowItems count="5">
    <i>
      <x/>
    </i>
    <i>
      <x v="1"/>
    </i>
    <i>
      <x v="2"/>
    </i>
    <i>
      <x v="3"/>
    </i>
    <i t="grand">
      <x/>
    </i>
  </rowItems>
  <colItems count="1">
    <i/>
  </colItems>
  <dataFields count="1">
    <dataField name="Sum of Sales_after_discount" fld="12" baseField="0" baseItem="0" numFmtId="166"/>
  </dataFields>
  <formats count="10">
    <format dxfId="23">
      <pivotArea outline="0" collapsedLevelsAreSubtotals="1" fieldPosition="0"/>
    </format>
    <format dxfId="22">
      <pivotArea type="all" dataOnly="0" outline="0" fieldPosition="0"/>
    </format>
    <format dxfId="21">
      <pivotArea outline="0" collapsedLevelsAreSubtotals="1" fieldPosition="0"/>
    </format>
    <format dxfId="20">
      <pivotArea outline="0" collapsedLevelsAreSubtotals="1" fieldPosition="0"/>
    </format>
    <format dxfId="19">
      <pivotArea type="all" dataOnly="0" outline="0" fieldPosition="0"/>
    </format>
    <format dxfId="18">
      <pivotArea outline="0" collapsedLevelsAreSubtotals="1" fieldPosition="0"/>
    </format>
    <format dxfId="17">
      <pivotArea field="3" type="button" dataOnly="0" labelOnly="1" outline="0" axis="axisRow" fieldPosition="0"/>
    </format>
    <format dxfId="16">
      <pivotArea dataOnly="0" labelOnly="1" fieldPosition="0">
        <references count="1">
          <reference field="3" count="0"/>
        </references>
      </pivotArea>
    </format>
    <format dxfId="15">
      <pivotArea dataOnly="0" labelOnly="1" grandRow="1" outline="0" fieldPosition="0"/>
    </format>
    <format dxfId="1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A55E2E8-1C82-4511-8908-E1123DD0191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pivotField numFmtId="1" showAll="0"/>
    <pivotField showAll="0">
      <items count="5">
        <item x="0"/>
        <item x="1"/>
        <item x="2"/>
        <item x="3"/>
        <item t="default"/>
      </items>
    </pivotField>
    <pivotField showAll="0"/>
    <pivotField showAll="0">
      <items count="5">
        <item x="3"/>
        <item x="0"/>
        <item x="1"/>
        <item x="2"/>
        <item t="default"/>
      </items>
    </pivotField>
    <pivotField showAll="0"/>
    <pivotField showAll="0"/>
    <pivotField showAll="0"/>
    <pivotField showAll="0"/>
    <pivotField showAll="0"/>
    <pivotField showAll="0"/>
    <pivotField dataField="1" showAll="0"/>
    <pivotField showAll="0"/>
    <pivotField showAll="0"/>
    <pivotField showAll="0">
      <items count="9">
        <item x="4"/>
        <item x="1"/>
        <item x="0"/>
        <item x="7"/>
        <item x="3"/>
        <item x="2"/>
        <item x="6"/>
        <item x="5"/>
        <item t="default"/>
      </items>
    </pivotField>
  </pivotFields>
  <rowItems count="1">
    <i/>
  </rowItems>
  <colItems count="1">
    <i/>
  </colItems>
  <dataFields count="1">
    <dataField name="Sum of Sales_after_discount" fld="12" baseField="0" baseItem="0" numFmtId="166"/>
  </dataFields>
  <formats count="4">
    <format dxfId="27">
      <pivotArea outline="0" collapsedLevelsAreSubtotals="1"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FF6D1EF-A8F8-4690-B681-6A4197A37F5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B32" firstHeaderRow="1" firstDataRow="1" firstDataCol="1"/>
  <pivotFields count="16">
    <pivotField showAll="0"/>
    <pivotField showAll="0">
      <items count="155">
        <item x="131"/>
        <item x="33"/>
        <item x="137"/>
        <item x="71"/>
        <item x="9"/>
        <item x="96"/>
        <item x="122"/>
        <item x="94"/>
        <item x="53"/>
        <item x="98"/>
        <item x="128"/>
        <item x="46"/>
        <item x="73"/>
        <item x="117"/>
        <item x="74"/>
        <item x="86"/>
        <item x="89"/>
        <item x="95"/>
        <item x="84"/>
        <item x="146"/>
        <item x="118"/>
        <item x="22"/>
        <item x="49"/>
        <item x="34"/>
        <item x="106"/>
        <item x="40"/>
        <item x="10"/>
        <item x="144"/>
        <item x="114"/>
        <item x="129"/>
        <item x="92"/>
        <item x="42"/>
        <item x="134"/>
        <item x="29"/>
        <item x="20"/>
        <item x="140"/>
        <item x="44"/>
        <item x="82"/>
        <item x="121"/>
        <item x="19"/>
        <item x="0"/>
        <item x="50"/>
        <item x="27"/>
        <item x="13"/>
        <item x="67"/>
        <item x="43"/>
        <item x="141"/>
        <item x="36"/>
        <item x="30"/>
        <item x="31"/>
        <item x="38"/>
        <item x="24"/>
        <item x="60"/>
        <item x="143"/>
        <item x="111"/>
        <item x="63"/>
        <item x="127"/>
        <item x="35"/>
        <item x="152"/>
        <item x="68"/>
        <item x="1"/>
        <item x="124"/>
        <item x="62"/>
        <item x="61"/>
        <item x="12"/>
        <item x="8"/>
        <item x="148"/>
        <item x="107"/>
        <item x="75"/>
        <item x="119"/>
        <item x="54"/>
        <item x="105"/>
        <item x="48"/>
        <item x="123"/>
        <item x="87"/>
        <item x="70"/>
        <item x="81"/>
        <item x="41"/>
        <item x="147"/>
        <item x="59"/>
        <item x="104"/>
        <item x="72"/>
        <item x="15"/>
        <item x="39"/>
        <item x="6"/>
        <item x="133"/>
        <item x="99"/>
        <item x="14"/>
        <item x="32"/>
        <item x="16"/>
        <item x="51"/>
        <item x="37"/>
        <item x="125"/>
        <item x="5"/>
        <item x="79"/>
        <item x="3"/>
        <item x="58"/>
        <item x="66"/>
        <item x="21"/>
        <item x="153"/>
        <item x="4"/>
        <item x="47"/>
        <item x="23"/>
        <item x="97"/>
        <item x="151"/>
        <item x="102"/>
        <item x="28"/>
        <item x="113"/>
        <item x="85"/>
        <item x="110"/>
        <item x="109"/>
        <item x="136"/>
        <item x="142"/>
        <item x="135"/>
        <item x="17"/>
        <item x="56"/>
        <item x="101"/>
        <item x="18"/>
        <item x="83"/>
        <item x="138"/>
        <item x="52"/>
        <item x="149"/>
        <item x="132"/>
        <item x="108"/>
        <item x="112"/>
        <item x="64"/>
        <item x="76"/>
        <item x="115"/>
        <item x="90"/>
        <item x="77"/>
        <item x="65"/>
        <item x="150"/>
        <item x="26"/>
        <item x="130"/>
        <item x="55"/>
        <item x="88"/>
        <item x="126"/>
        <item x="120"/>
        <item x="45"/>
        <item x="2"/>
        <item x="100"/>
        <item x="11"/>
        <item x="69"/>
        <item x="145"/>
        <item x="139"/>
        <item x="57"/>
        <item x="80"/>
        <item x="93"/>
        <item x="25"/>
        <item x="7"/>
        <item x="103"/>
        <item x="91"/>
        <item x="78"/>
        <item x="116"/>
        <item t="default"/>
      </items>
    </pivotField>
    <pivotField axis="axisRow" numFmtId="1" showAll="0">
      <items count="13">
        <item x="5"/>
        <item x="6"/>
        <item x="8"/>
        <item x="0"/>
        <item x="9"/>
        <item x="1"/>
        <item x="4"/>
        <item x="3"/>
        <item x="7"/>
        <item x="11"/>
        <item x="10"/>
        <item x="2"/>
        <item t="default"/>
      </items>
    </pivotField>
    <pivotField showAll="0">
      <items count="5">
        <item x="0"/>
        <item x="1"/>
        <item x="2"/>
        <item x="3"/>
        <item t="default"/>
      </items>
    </pivotField>
    <pivotField showAll="0"/>
    <pivotField showAll="0">
      <items count="5">
        <item x="3"/>
        <item x="0"/>
        <item x="1"/>
        <item x="2"/>
        <item t="default"/>
      </items>
    </pivotField>
    <pivotField showAll="0"/>
    <pivotField showAll="0"/>
    <pivotField showAll="0"/>
    <pivotField showAll="0"/>
    <pivotField showAll="0"/>
    <pivotField showAll="0"/>
    <pivotField dataField="1" showAll="0"/>
    <pivotField showAll="0"/>
    <pivotField showAll="0"/>
    <pivotField showAll="0">
      <items count="9">
        <item x="4"/>
        <item x="1"/>
        <item x="0"/>
        <item x="7"/>
        <item x="3"/>
        <item x="2"/>
        <item x="6"/>
        <item x="5"/>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Sales_after_discount" fld="12" baseField="0" baseItem="0" numFmtId="166"/>
  </dataFields>
  <formats count="10">
    <format dxfId="37">
      <pivotArea outline="0" collapsedLevelsAreSubtotals="1" fieldPosition="0"/>
    </format>
    <format dxfId="36">
      <pivotArea type="all" dataOnly="0" outline="0" fieldPosition="0"/>
    </format>
    <format dxfId="35">
      <pivotArea outline="0" collapsedLevelsAreSubtotals="1" fieldPosition="0"/>
    </format>
    <format dxfId="34">
      <pivotArea outline="0" collapsedLevelsAreSubtotals="1" fieldPosition="0"/>
    </format>
    <format dxfId="33">
      <pivotArea type="all" dataOnly="0" outline="0" fieldPosition="0"/>
    </format>
    <format dxfId="32">
      <pivotArea outline="0" collapsedLevelsAreSubtotals="1" fieldPosition="0"/>
    </format>
    <format dxfId="31">
      <pivotArea field="2" type="button" dataOnly="0" labelOnly="1" outline="0" axis="axisRow" fieldPosition="0"/>
    </format>
    <format dxfId="30">
      <pivotArea dataOnly="0" labelOnly="1" fieldPosition="0">
        <references count="1">
          <reference field="2" count="0"/>
        </references>
      </pivotArea>
    </format>
    <format dxfId="29">
      <pivotArea dataOnly="0" labelOnly="1" grandRow="1" outline="0" fieldPosition="0"/>
    </format>
    <format dxfId="2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7A05755-5396-4094-87AC-ED5DB42CBF6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9:B44" firstHeaderRow="1" firstDataRow="1" firstDataCol="1"/>
  <pivotFields count="16">
    <pivotField showAll="0"/>
    <pivotField showAll="0"/>
    <pivotField numFmtId="1" showAll="0"/>
    <pivotField showAll="0">
      <items count="5">
        <item x="0"/>
        <item x="1"/>
        <item x="2"/>
        <item x="3"/>
        <item t="default"/>
      </items>
    </pivotField>
    <pivotField showAll="0"/>
    <pivotField axis="axisRow" showAll="0">
      <items count="5">
        <item x="3"/>
        <item x="0"/>
        <item x="1"/>
        <item x="2"/>
        <item t="default"/>
      </items>
    </pivotField>
    <pivotField showAll="0"/>
    <pivotField showAll="0"/>
    <pivotField showAll="0"/>
    <pivotField showAll="0"/>
    <pivotField showAll="0"/>
    <pivotField showAll="0"/>
    <pivotField dataField="1" showAll="0"/>
    <pivotField showAll="0"/>
    <pivotField showAll="0"/>
    <pivotField showAll="0">
      <items count="9">
        <item x="4"/>
        <item x="1"/>
        <item x="0"/>
        <item x="7"/>
        <item x="3"/>
        <item x="2"/>
        <item x="6"/>
        <item x="5"/>
        <item t="default"/>
      </items>
    </pivotField>
  </pivotFields>
  <rowFields count="1">
    <field x="5"/>
  </rowFields>
  <rowItems count="5">
    <i>
      <x/>
    </i>
    <i>
      <x v="1"/>
    </i>
    <i>
      <x v="2"/>
    </i>
    <i>
      <x v="3"/>
    </i>
    <i t="grand">
      <x/>
    </i>
  </rowItems>
  <colItems count="1">
    <i/>
  </colItems>
  <dataFields count="1">
    <dataField name="Sum of Sales_after_discount" fld="12" baseField="0" baseItem="0" numFmtId="166"/>
  </dataFields>
  <formats count="10">
    <format dxfId="47">
      <pivotArea outline="0" collapsedLevelsAreSubtotals="1" fieldPosition="0"/>
    </format>
    <format dxfId="46">
      <pivotArea type="all" dataOnly="0" outline="0" fieldPosition="0"/>
    </format>
    <format dxfId="45">
      <pivotArea outline="0" collapsedLevelsAreSubtotals="1" fieldPosition="0"/>
    </format>
    <format dxfId="44">
      <pivotArea outline="0" collapsedLevelsAreSubtotals="1" fieldPosition="0"/>
    </format>
    <format dxfId="43">
      <pivotArea type="all" dataOnly="0" outline="0" fieldPosition="0"/>
    </format>
    <format dxfId="42">
      <pivotArea outline="0" collapsedLevelsAreSubtotals="1" fieldPosition="0"/>
    </format>
    <format dxfId="41">
      <pivotArea field="5" type="button" dataOnly="0" labelOnly="1" outline="0" axis="axisRow" fieldPosition="0"/>
    </format>
    <format dxfId="40">
      <pivotArea dataOnly="0" labelOnly="1" fieldPosition="0">
        <references count="1">
          <reference field="5" count="0"/>
        </references>
      </pivotArea>
    </format>
    <format dxfId="39">
      <pivotArea dataOnly="0" labelOnly="1" grandRow="1" outline="0" fieldPosition="0"/>
    </format>
    <format dxfId="38">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5" count="1" selected="0">
            <x v="0"/>
          </reference>
        </references>
      </pivotArea>
    </chartFormat>
    <chartFormat chart="5" format="8">
      <pivotArea type="data" outline="0" fieldPosition="0">
        <references count="2">
          <reference field="4294967294" count="1" selected="0">
            <x v="0"/>
          </reference>
          <reference field="5" count="1" selected="0">
            <x v="1"/>
          </reference>
        </references>
      </pivotArea>
    </chartFormat>
    <chartFormat chart="5" format="9">
      <pivotArea type="data" outline="0" fieldPosition="0">
        <references count="2">
          <reference field="4294967294" count="1" selected="0">
            <x v="0"/>
          </reference>
          <reference field="5" count="1" selected="0">
            <x v="2"/>
          </reference>
        </references>
      </pivotArea>
    </chartFormat>
    <chartFormat chart="5" format="10">
      <pivotArea type="data" outline="0" fieldPosition="0">
        <references count="2">
          <reference field="4294967294" count="1" selected="0">
            <x v="0"/>
          </reference>
          <reference field="5" count="1" selected="0">
            <x v="3"/>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A5E1DF0-50B4-4D5B-8D70-E0D275B282A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6">
    <pivotField showAll="0"/>
    <pivotField showAll="0"/>
    <pivotField numFmtId="1" showAll="0"/>
    <pivotField showAll="0">
      <items count="5">
        <item x="0"/>
        <item x="1"/>
        <item x="2"/>
        <item x="3"/>
        <item t="default"/>
      </items>
    </pivotField>
    <pivotField showAll="0"/>
    <pivotField showAll="0">
      <items count="5">
        <item x="3"/>
        <item x="0"/>
        <item x="1"/>
        <item x="2"/>
        <item t="default"/>
      </items>
    </pivotField>
    <pivotField showAll="0"/>
    <pivotField showAll="0"/>
    <pivotField showAll="0"/>
    <pivotField showAll="0"/>
    <pivotField showAll="0"/>
    <pivotField showAll="0"/>
    <pivotField dataField="1" showAll="0"/>
    <pivotField showAll="0"/>
    <pivotField showAll="0"/>
    <pivotField showAll="0">
      <items count="9">
        <item x="4"/>
        <item x="1"/>
        <item x="0"/>
        <item x="7"/>
        <item x="3"/>
        <item x="2"/>
        <item x="6"/>
        <item x="5"/>
        <item t="default"/>
      </items>
    </pivotField>
  </pivotFields>
  <rowItems count="1">
    <i/>
  </rowItems>
  <colItems count="1">
    <i/>
  </colItems>
  <dataFields count="1">
    <dataField name="Average of Sales_after_discount" fld="12" subtotal="average" baseField="0" baseItem="0" numFmtId="165"/>
  </dataFields>
  <formats count="4">
    <format dxfId="51">
      <pivotArea outline="0" collapsedLevelsAreSubtotals="1" fieldPosition="0"/>
    </format>
    <format dxfId="50">
      <pivotArea type="all" dataOnly="0" outline="0" fieldPosition="0"/>
    </format>
    <format dxfId="49">
      <pivotArea outline="0" collapsedLevelsAreSubtotals="1" fieldPosition="0"/>
    </format>
    <format dxfId="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DB6E04C-E265-457D-B05B-0F317BDF8E4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6">
    <pivotField dataField="1" showAll="0"/>
    <pivotField showAll="0"/>
    <pivotField numFmtId="1" showAll="0"/>
    <pivotField showAll="0">
      <items count="5">
        <item x="0"/>
        <item x="1"/>
        <item x="2"/>
        <item x="3"/>
        <item t="default"/>
      </items>
    </pivotField>
    <pivotField showAll="0"/>
    <pivotField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items count="9">
        <item x="4"/>
        <item x="1"/>
        <item x="0"/>
        <item x="7"/>
        <item x="3"/>
        <item x="2"/>
        <item x="6"/>
        <item x="5"/>
        <item t="default"/>
      </items>
    </pivotField>
  </pivotFields>
  <rowItems count="1">
    <i/>
  </rowItems>
  <colItems count="1">
    <i/>
  </colItems>
  <dataFields count="1">
    <dataField name="Count of OrderID" fld="0" subtotal="count" baseField="0" baseItem="0"/>
  </dataFields>
  <formats count="4">
    <format dxfId="55">
      <pivotArea outline="0" collapsedLevelsAreSubtotals="1" fieldPosition="0"/>
    </format>
    <format dxfId="54">
      <pivotArea type="all" dataOnly="0" outline="0" fieldPosition="0"/>
    </format>
    <format dxfId="53">
      <pivotArea outline="0" collapsedLevelsAreSubtotals="1" fieldPosition="0"/>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537B9DC-EE9D-46BD-A67C-D616A73201CD}" sourceName="Category">
  <pivotTables>
    <pivotTable tabId="3" name="PivotTable1"/>
    <pivotTable tabId="3" name="PivotTable31"/>
    <pivotTable tabId="3" name="PivotTable32"/>
  </pivotTables>
  <data>
    <tabular pivotCacheId="1780376491">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0B6B236-AF8F-4307-9CD1-C21CBE867AE8}" sourceName="Customer Type">
  <pivotTables>
    <pivotTable tabId="3" name="PivotTable1"/>
    <pivotTable tabId="3" name="PivotTable31"/>
    <pivotTable tabId="3" name="PivotTable32"/>
  </pivotTables>
  <data>
    <tabular pivotCacheId="178037649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DC455E97-8967-44F9-94D7-49738357DA15}" sourceName="Salesperson">
  <pivotTables>
    <pivotTable tabId="3" name="PivotTable1"/>
    <pivotTable tabId="3" name="PivotTable31"/>
    <pivotTable tabId="3" name="PivotTable32"/>
  </pivotTables>
  <data>
    <tabular pivotCacheId="1780376491">
      <items count="8">
        <i x="4" s="1"/>
        <i x="1" s="1"/>
        <i x="0" s="1"/>
        <i x="7" s="1"/>
        <i x="3" s="1"/>
        <i x="2" s="1"/>
        <i x="6"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AC4367-FAD9-4371-A1B7-2A9B17ECBD0E}" sourceName="Region">
  <pivotTables>
    <pivotTable tabId="8" name="PivotTable8"/>
    <pivotTable tabId="8" name="PivotTable9"/>
    <pivotTable tabId="8" name="PivotTable10"/>
    <pivotTable tabId="8" name="PivotTable11"/>
    <pivotTable tabId="8" name="PivotTable12"/>
    <pivotTable tabId="8" name="PivotTable13"/>
    <pivotTable tabId="8" name="PivotTable14"/>
  </pivotTables>
  <data>
    <tabular pivotCacheId="1780376491">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5822769A-5E91-4EC3-8A94-8DE86B35FE66}" sourceName="Category">
  <pivotTables>
    <pivotTable tabId="8" name="PivotTable8"/>
    <pivotTable tabId="8" name="PivotTable9"/>
    <pivotTable tabId="8" name="PivotTable10"/>
    <pivotTable tabId="8" name="PivotTable11"/>
    <pivotTable tabId="8" name="PivotTable12"/>
    <pivotTable tabId="8" name="PivotTable13"/>
    <pivotTable tabId="8" name="PivotTable14"/>
  </pivotTables>
  <data>
    <tabular pivotCacheId="1780376491">
      <items count="4">
        <i x="3" s="1"/>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37E9745C-3961-428B-B4AB-63A278AD5C54}" sourceName="Salesperson">
  <pivotTables>
    <pivotTable tabId="8" name="PivotTable8"/>
    <pivotTable tabId="8" name="PivotTable9"/>
    <pivotTable tabId="8" name="PivotTable10"/>
    <pivotTable tabId="8" name="PivotTable11"/>
    <pivotTable tabId="8" name="PivotTable12"/>
    <pivotTable tabId="8" name="PivotTable13"/>
    <pivotTable tabId="8" name="PivotTable14"/>
  </pivotTables>
  <data>
    <tabular pivotCacheId="1780376491">
      <items count="8">
        <i x="4" s="1"/>
        <i x="1" s="1"/>
        <i x="0" s="1"/>
        <i x="7" s="1"/>
        <i x="3" s="1"/>
        <i x="2"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69B6703-8F1F-4F68-A7C3-9B8552443EF2}" cache="Slicer_Category" caption="Category" rowHeight="234950"/>
  <slicer name="Customer Type" xr10:uid="{0E2DA77F-C23F-4A7B-97BA-0A9F22E7D166}" cache="Slicer_Customer_Type" caption="Customer Type" rowHeight="234950"/>
  <slicer name="Salesperson" xr10:uid="{C2EC8EA4-381F-4D5F-9C78-20642DE7B058}" cache="Slicer_Salesperson" caption="Salesper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348869F-10E7-468F-A0E7-BA459E567327}" cache="Slicer_Region" caption="Region" startItem="1" rowHeight="234950"/>
  <slicer name="Category 2" xr10:uid="{891DB4D0-6AD6-4CF4-8E8D-85353E487172}" cache="Slicer_Category1" caption="Category" rowHeight="234950"/>
  <slicer name="Salesperson 2" xr10:uid="{A60414F2-5F6B-4FC4-9121-C3152654DE1B}" cache="Slicer_Salesperson1" caption="Salesper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6712A72-0333-4AA3-AC89-307654806BBF}" cache="Slicer_Region" caption="Region" startItem="1" style="SlicerStyleDark4 2" rowHeight="234950"/>
  <slicer name="Category 3" xr10:uid="{8A4F3B74-0972-4A07-B601-E9EBEF96B5EB}" cache="Slicer_Category1" caption="Category" style="SlicerStyleDark4 2" rowHeight="234950"/>
  <slicer name="Salesperson 3" xr10:uid="{7BC0FA3B-DC3D-4C30-96B2-BCEAD58A4BE2}" cache="Slicer_Salesperson1" caption="Salesperson" style="SlicerStyleDark4 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7B38244-BD07-40CD-AD4E-75931742379B}" cache="Slicer_Category" caption="Category" style="SlicerStyleDark5" rowHeight="234950"/>
  <slicer name="Customer Type 1" xr10:uid="{985393C2-4EDC-433F-A0F8-AF74A36E44A1}" cache="Slicer_Customer_Type" caption="Customer Type" style="SlicerStyleDark5" rowHeight="234950"/>
  <slicer name="Salesperson 1" xr10:uid="{4D171F93-5153-4A3D-BEA4-128117D93176}" cache="Slicer_Salesperson" caption="Salesperson" startItem="1"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273402-81F5-4E59-AAC8-EF3AF1336A99}" name="Table1" displayName="Table1" ref="A1:P201" totalsRowShown="0">
  <autoFilter ref="A1:P201" xr:uid="{EA273402-81F5-4E59-AAC8-EF3AF1336A99}"/>
  <tableColumns count="16">
    <tableColumn id="1" xr3:uid="{26B49E97-C262-405C-94CB-70329CAE7C04}" name="OrderID"/>
    <tableColumn id="2" xr3:uid="{63AEE1CB-7AC8-4A11-977A-62AC0BB78989}" name="Date" dataDxfId="9"/>
    <tableColumn id="16" xr3:uid="{A2C5CA11-952A-480A-A1F9-A8E202C727E8}" name="Month" dataDxfId="8">
      <calculatedColumnFormula>MONTH(Table1[[#This Row],[Date]])</calculatedColumnFormula>
    </tableColumn>
    <tableColumn id="3" xr3:uid="{905E5D3A-2F10-4E8B-A4DC-FDE33023BCF6}" name="Region"/>
    <tableColumn id="4" xr3:uid="{5610E475-56E5-4FD4-BC13-0FA7E99B2C00}" name="State"/>
    <tableColumn id="5" xr3:uid="{61FA2F89-A7C1-41CF-B6CC-245CC68E8DCA}" name="Category"/>
    <tableColumn id="6" xr3:uid="{5E20C7CC-E4B8-48A2-AC6E-E8B9F340FBFE}" name="Sub-Category"/>
    <tableColumn id="7" xr3:uid="{66E7B0DB-AF1A-48A5-A9CC-4A1DFB55F869}" name="Product"/>
    <tableColumn id="8" xr3:uid="{DA47C1A4-9092-4E92-AFC3-0705A34097AE}" name="Quantity"/>
    <tableColumn id="9" xr3:uid="{DAC5D1AB-54BF-48A0-85AA-16F15E981768}" name="Unit Price"/>
    <tableColumn id="13" xr3:uid="{7340E6A4-AA0D-48EA-9867-38C77723B4B8}" name="Sales" dataDxfId="7">
      <calculatedColumnFormula>Table1[[#This Row],[Quantity]]*Table1[[#This Row],[Unit Price]]</calculatedColumnFormula>
    </tableColumn>
    <tableColumn id="14" xr3:uid="{ADB9232C-77B3-46DC-BBBD-0DD9EBF48AA7}" name="dis" dataDxfId="6">
      <calculatedColumnFormula>Table1[[#This Row],[Sales]]*Table1[[#This Row],[Discount]]</calculatedColumnFormula>
    </tableColumn>
    <tableColumn id="15" xr3:uid="{7663B88E-5480-4D23-8E05-7491B5691430}" name="Sales_after_discount" dataDxfId="5">
      <calculatedColumnFormula>Table1[[#This Row],[Sales]]-Table1[[#This Row],[dis]]</calculatedColumnFormula>
    </tableColumn>
    <tableColumn id="10" xr3:uid="{1D24B481-DB67-4D7F-9EC3-A19AA78EF683}" name="Discount"/>
    <tableColumn id="11" xr3:uid="{2E73D4C1-9C66-4943-AAD6-4C53AA0ABD36}" name="Customer Type"/>
    <tableColumn id="12" xr3:uid="{190D4EC2-01E8-4BBB-BE29-65470A72C9C0}" name="Salespers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7"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 Id="rId9" Type="http://schemas.microsoft.com/office/2007/relationships/slicer" Target="../slicers/slicer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535A3-21C1-4B56-8690-0E298CE647F3}">
  <dimension ref="A3:S261"/>
  <sheetViews>
    <sheetView workbookViewId="0">
      <selection activeCell="M40" sqref="M40"/>
    </sheetView>
  </sheetViews>
  <sheetFormatPr defaultRowHeight="14.4"/>
  <cols>
    <col min="1" max="1" width="12.5546875" bestFit="1" customWidth="1"/>
    <col min="2" max="2" width="11.6640625" bestFit="1" customWidth="1"/>
    <col min="3" max="3" width="18.109375" bestFit="1" customWidth="1"/>
    <col min="4" max="4" width="5" bestFit="1" customWidth="1"/>
    <col min="5" max="5" width="3" bestFit="1" customWidth="1"/>
    <col min="6" max="6" width="9.21875" customWidth="1"/>
    <col min="7" max="7" width="9.77734375" customWidth="1"/>
    <col min="8" max="8" width="8.5546875" bestFit="1" customWidth="1"/>
    <col min="9" max="9" width="14.88671875" customWidth="1"/>
    <col min="10" max="10" width="7" bestFit="1" customWidth="1"/>
    <col min="11" max="11" width="4" bestFit="1" customWidth="1"/>
    <col min="12" max="18" width="7" bestFit="1" customWidth="1"/>
    <col min="19" max="26" width="8" bestFit="1" customWidth="1"/>
    <col min="27" max="28" width="7" bestFit="1" customWidth="1"/>
    <col min="29" max="33" width="8" bestFit="1" customWidth="1"/>
    <col min="34" max="34" width="7" bestFit="1" customWidth="1"/>
    <col min="35" max="35" width="5" bestFit="1" customWidth="1"/>
    <col min="36" max="40" width="8" bestFit="1" customWidth="1"/>
    <col min="41" max="42" width="7" bestFit="1" customWidth="1"/>
    <col min="43" max="45" width="8" bestFit="1" customWidth="1"/>
    <col min="46" max="46" width="7" bestFit="1" customWidth="1"/>
    <col min="47" max="49" width="8" bestFit="1" customWidth="1"/>
    <col min="50" max="50" width="7" bestFit="1" customWidth="1"/>
    <col min="51" max="56" width="8" bestFit="1" customWidth="1"/>
    <col min="57" max="57" width="7" bestFit="1" customWidth="1"/>
    <col min="58" max="59" width="8" bestFit="1" customWidth="1"/>
    <col min="60" max="62" width="7" bestFit="1" customWidth="1"/>
    <col min="63" max="64" width="8" bestFit="1" customWidth="1"/>
    <col min="65" max="66" width="7" bestFit="1" customWidth="1"/>
    <col min="67" max="67" width="8" bestFit="1" customWidth="1"/>
    <col min="68" max="68" width="5" bestFit="1" customWidth="1"/>
    <col min="69" max="72" width="8" bestFit="1" customWidth="1"/>
    <col min="73" max="73" width="7" bestFit="1" customWidth="1"/>
    <col min="74" max="76" width="8" bestFit="1" customWidth="1"/>
    <col min="77" max="77" width="7" bestFit="1" customWidth="1"/>
    <col min="78" max="78" width="8" bestFit="1" customWidth="1"/>
    <col min="79" max="79" width="7" bestFit="1" customWidth="1"/>
    <col min="80" max="81" width="8" bestFit="1" customWidth="1"/>
    <col min="82" max="82" width="7" bestFit="1" customWidth="1"/>
    <col min="83" max="83" width="8" bestFit="1" customWidth="1"/>
    <col min="84" max="85" width="5" bestFit="1" customWidth="1"/>
    <col min="86" max="97" width="8" bestFit="1" customWidth="1"/>
    <col min="98" max="98" width="7" bestFit="1" customWidth="1"/>
    <col min="99" max="99" width="5" bestFit="1" customWidth="1"/>
    <col min="100" max="100" width="8" bestFit="1" customWidth="1"/>
    <col min="101" max="101" width="7" bestFit="1" customWidth="1"/>
    <col min="102" max="102" width="8" bestFit="1" customWidth="1"/>
    <col min="103" max="103" width="5" bestFit="1" customWidth="1"/>
    <col min="104" max="105" width="8" bestFit="1" customWidth="1"/>
    <col min="106" max="106" width="7" bestFit="1" customWidth="1"/>
    <col min="107" max="108" width="5" bestFit="1" customWidth="1"/>
    <col min="109" max="109" width="8" bestFit="1" customWidth="1"/>
    <col min="110" max="110" width="7" bestFit="1" customWidth="1"/>
    <col min="111" max="111" width="8" bestFit="1" customWidth="1"/>
    <col min="112" max="112" width="9" bestFit="1" customWidth="1"/>
    <col min="113" max="113" width="8" bestFit="1" customWidth="1"/>
    <col min="114" max="114" width="9" bestFit="1" customWidth="1"/>
    <col min="115" max="115" width="8" bestFit="1" customWidth="1"/>
    <col min="116" max="116" width="6" bestFit="1" customWidth="1"/>
    <col min="117" max="117" width="9" bestFit="1" customWidth="1"/>
    <col min="118" max="119" width="8" bestFit="1" customWidth="1"/>
    <col min="120" max="120" width="9" bestFit="1" customWidth="1"/>
    <col min="121" max="122" width="8" bestFit="1" customWidth="1"/>
    <col min="123" max="124" width="9" bestFit="1" customWidth="1"/>
    <col min="125" max="128" width="8" bestFit="1" customWidth="1"/>
    <col min="129" max="130" width="9" bestFit="1" customWidth="1"/>
    <col min="131" max="132" width="8" bestFit="1" customWidth="1"/>
    <col min="133" max="134" width="9" bestFit="1" customWidth="1"/>
    <col min="135" max="135" width="6" bestFit="1" customWidth="1"/>
    <col min="136" max="136" width="9" bestFit="1" customWidth="1"/>
    <col min="137" max="138" width="8" bestFit="1" customWidth="1"/>
    <col min="139" max="143" width="9" bestFit="1" customWidth="1"/>
    <col min="144" max="144" width="6" bestFit="1" customWidth="1"/>
    <col min="145" max="145" width="9" bestFit="1" customWidth="1"/>
    <col min="146" max="147" width="8" bestFit="1" customWidth="1"/>
    <col min="148" max="156" width="9" bestFit="1" customWidth="1"/>
    <col min="157" max="158" width="8" bestFit="1" customWidth="1"/>
    <col min="159" max="159" width="9" bestFit="1" customWidth="1"/>
    <col min="160" max="160" width="8" bestFit="1" customWidth="1"/>
    <col min="161" max="163" width="9" bestFit="1" customWidth="1"/>
    <col min="164" max="165" width="8" bestFit="1" customWidth="1"/>
    <col min="166" max="166" width="9" bestFit="1" customWidth="1"/>
    <col min="167" max="169" width="8" bestFit="1" customWidth="1"/>
    <col min="170" max="170" width="9" bestFit="1" customWidth="1"/>
    <col min="171" max="172" width="8" bestFit="1" customWidth="1"/>
    <col min="173" max="173" width="9" bestFit="1" customWidth="1"/>
    <col min="174" max="174" width="8" bestFit="1" customWidth="1"/>
    <col min="175" max="177" width="9" bestFit="1" customWidth="1"/>
    <col min="178" max="178" width="8" bestFit="1" customWidth="1"/>
    <col min="179" max="179" width="9" bestFit="1" customWidth="1"/>
    <col min="180" max="181" width="8" bestFit="1" customWidth="1"/>
    <col min="182" max="182" width="6" bestFit="1" customWidth="1"/>
    <col min="183" max="185" width="8" bestFit="1" customWidth="1"/>
    <col min="186" max="187" width="9" bestFit="1" customWidth="1"/>
    <col min="188" max="188" width="8" bestFit="1" customWidth="1"/>
    <col min="189" max="189" width="9" bestFit="1" customWidth="1"/>
    <col min="190" max="190" width="8" bestFit="1" customWidth="1"/>
    <col min="191" max="191" width="9" bestFit="1" customWidth="1"/>
    <col min="192" max="193" width="8" bestFit="1" customWidth="1"/>
    <col min="194" max="194" width="9" bestFit="1" customWidth="1"/>
    <col min="195" max="195" width="8" bestFit="1" customWidth="1"/>
    <col min="196" max="196" width="9" bestFit="1" customWidth="1"/>
    <col min="197" max="197" width="10.77734375" bestFit="1" customWidth="1"/>
  </cols>
  <sheetData>
    <row r="3" spans="1:9">
      <c r="A3" s="10" t="s">
        <v>291</v>
      </c>
      <c r="B3" t="s">
        <v>293</v>
      </c>
      <c r="C3" t="s">
        <v>297</v>
      </c>
    </row>
    <row r="4" spans="1:9">
      <c r="A4" s="11" t="s">
        <v>13</v>
      </c>
      <c r="B4">
        <v>223</v>
      </c>
      <c r="C4">
        <v>4334263.3499999996</v>
      </c>
    </row>
    <row r="5" spans="1:9">
      <c r="A5" s="11" t="s">
        <v>21</v>
      </c>
      <c r="B5">
        <v>292</v>
      </c>
      <c r="C5">
        <v>6708061.6499999994</v>
      </c>
    </row>
    <row r="6" spans="1:9">
      <c r="A6" s="11" t="s">
        <v>28</v>
      </c>
      <c r="B6">
        <v>295</v>
      </c>
      <c r="C6">
        <v>6205315.25</v>
      </c>
    </row>
    <row r="7" spans="1:9">
      <c r="A7" s="11" t="s">
        <v>69</v>
      </c>
      <c r="B7">
        <v>292</v>
      </c>
      <c r="C7">
        <v>6757341.2699999986</v>
      </c>
    </row>
    <row r="8" spans="1:9">
      <c r="A8" s="11" t="s">
        <v>292</v>
      </c>
      <c r="B8">
        <v>1102</v>
      </c>
      <c r="C8">
        <v>24004981.52</v>
      </c>
    </row>
    <row r="11" spans="1:9" ht="15" thickBot="1"/>
    <row r="12" spans="1:9" ht="15" thickBot="1">
      <c r="A12" s="55" t="s">
        <v>308</v>
      </c>
      <c r="B12" s="56"/>
      <c r="C12" s="56"/>
      <c r="D12" s="56"/>
      <c r="E12" s="56"/>
      <c r="F12" s="56"/>
      <c r="G12" s="56"/>
      <c r="H12" s="56"/>
      <c r="I12" s="43"/>
    </row>
    <row r="13" spans="1:9" ht="15" thickBot="1">
      <c r="A13" s="24" t="s">
        <v>291</v>
      </c>
      <c r="B13" s="26" t="s">
        <v>297</v>
      </c>
      <c r="I13" s="18"/>
    </row>
    <row r="14" spans="1:9">
      <c r="A14" s="40" t="s">
        <v>22</v>
      </c>
      <c r="B14" s="51">
        <v>1709818.94</v>
      </c>
      <c r="I14" s="18"/>
    </row>
    <row r="15" spans="1:9">
      <c r="A15" s="34" t="s">
        <v>36</v>
      </c>
      <c r="B15" s="48">
        <v>1950815.96</v>
      </c>
      <c r="I15" s="18"/>
    </row>
    <row r="16" spans="1:9">
      <c r="A16" s="34" t="s">
        <v>72</v>
      </c>
      <c r="B16" s="48">
        <v>1985123.41</v>
      </c>
      <c r="I16" s="18"/>
    </row>
    <row r="17" spans="1:9">
      <c r="A17" s="34" t="s">
        <v>111</v>
      </c>
      <c r="B17" s="48">
        <v>2090269.9</v>
      </c>
      <c r="I17" s="18"/>
    </row>
    <row r="18" spans="1:9" ht="15" thickBot="1">
      <c r="A18" s="35" t="s">
        <v>60</v>
      </c>
      <c r="B18" s="48">
        <v>2522754.8100000005</v>
      </c>
      <c r="I18" s="18"/>
    </row>
    <row r="19" spans="1:9" ht="15" thickBot="1">
      <c r="A19" s="25" t="s">
        <v>292</v>
      </c>
      <c r="B19" s="49">
        <v>10258783.02</v>
      </c>
      <c r="I19" s="18"/>
    </row>
    <row r="20" spans="1:9">
      <c r="A20" s="17"/>
      <c r="I20" s="18"/>
    </row>
    <row r="21" spans="1:9">
      <c r="A21" s="17"/>
      <c r="I21" s="18"/>
    </row>
    <row r="22" spans="1:9">
      <c r="A22" s="17"/>
      <c r="I22" s="18"/>
    </row>
    <row r="23" spans="1:9">
      <c r="A23" s="17"/>
      <c r="I23" s="18"/>
    </row>
    <row r="24" spans="1:9">
      <c r="A24" s="17"/>
      <c r="I24" s="18"/>
    </row>
    <row r="25" spans="1:9">
      <c r="A25" s="17"/>
      <c r="I25" s="18"/>
    </row>
    <row r="26" spans="1:9">
      <c r="A26" s="17"/>
      <c r="I26" s="18"/>
    </row>
    <row r="27" spans="1:9">
      <c r="A27" s="17"/>
      <c r="I27" s="18"/>
    </row>
    <row r="28" spans="1:9">
      <c r="A28" s="17"/>
      <c r="I28" s="18"/>
    </row>
    <row r="29" spans="1:9" ht="15" thickBot="1">
      <c r="A29" s="29"/>
      <c r="B29" s="19"/>
      <c r="C29" s="19"/>
      <c r="D29" s="19"/>
      <c r="E29" s="19"/>
      <c r="F29" s="19"/>
      <c r="G29" s="19"/>
      <c r="H29" s="19"/>
      <c r="I29" s="20"/>
    </row>
    <row r="36" spans="1:19" ht="15" thickBot="1"/>
    <row r="37" spans="1:19">
      <c r="A37" s="57" t="s">
        <v>309</v>
      </c>
      <c r="B37" s="58"/>
      <c r="C37" s="58"/>
      <c r="D37" s="58"/>
      <c r="E37" s="58"/>
      <c r="F37" s="58"/>
      <c r="G37" s="58"/>
      <c r="H37" s="58"/>
      <c r="I37" s="58"/>
      <c r="J37" s="58"/>
      <c r="K37" s="58"/>
      <c r="L37" s="58"/>
      <c r="M37" s="58"/>
      <c r="N37" s="58"/>
      <c r="O37" s="58"/>
      <c r="P37" s="58"/>
      <c r="Q37" s="58"/>
      <c r="R37" s="58"/>
      <c r="S37" s="59"/>
    </row>
    <row r="38" spans="1:19" ht="15" thickBot="1">
      <c r="A38" s="17"/>
      <c r="S38" s="18"/>
    </row>
    <row r="39" spans="1:19" ht="15" thickBot="1">
      <c r="A39" s="44" t="s">
        <v>291</v>
      </c>
      <c r="B39" s="15" t="s">
        <v>298</v>
      </c>
      <c r="C39" s="16" t="s">
        <v>300</v>
      </c>
      <c r="G39" s="26" t="s">
        <v>310</v>
      </c>
      <c r="H39" s="15" t="s">
        <v>294</v>
      </c>
      <c r="I39" s="26" t="s">
        <v>311</v>
      </c>
      <c r="S39" s="18"/>
    </row>
    <row r="40" spans="1:19">
      <c r="A40" s="42">
        <v>1001</v>
      </c>
      <c r="B40" s="14">
        <v>296145</v>
      </c>
      <c r="C40" s="16">
        <v>7.0000000000000007E-2</v>
      </c>
      <c r="G40" s="42">
        <v>1001</v>
      </c>
      <c r="H40" s="52">
        <v>296145</v>
      </c>
      <c r="I40" s="46">
        <v>7.0000000000000007E-2</v>
      </c>
      <c r="S40" s="18"/>
    </row>
    <row r="41" spans="1:19">
      <c r="A41" s="42">
        <v>1002</v>
      </c>
      <c r="B41" s="17">
        <v>362970</v>
      </c>
      <c r="C41" s="18">
        <v>0.04</v>
      </c>
      <c r="G41" s="42">
        <v>1002</v>
      </c>
      <c r="H41" s="53">
        <v>362970</v>
      </c>
      <c r="I41" s="47">
        <v>0.04</v>
      </c>
      <c r="S41" s="18"/>
    </row>
    <row r="42" spans="1:19">
      <c r="A42" s="42">
        <v>1003</v>
      </c>
      <c r="B42" s="17">
        <v>92610</v>
      </c>
      <c r="C42" s="18">
        <v>0.1</v>
      </c>
      <c r="G42" s="42">
        <v>1003</v>
      </c>
      <c r="H42" s="53">
        <v>92610</v>
      </c>
      <c r="I42" s="47">
        <v>0.1</v>
      </c>
      <c r="S42" s="18"/>
    </row>
    <row r="43" spans="1:19">
      <c r="A43" s="42">
        <v>1004</v>
      </c>
      <c r="B43" s="17">
        <v>261464</v>
      </c>
      <c r="C43" s="18">
        <v>0.03</v>
      </c>
      <c r="G43" s="42">
        <v>1004</v>
      </c>
      <c r="H43" s="53">
        <v>261464</v>
      </c>
      <c r="I43" s="47">
        <v>0.03</v>
      </c>
      <c r="S43" s="18"/>
    </row>
    <row r="44" spans="1:19">
      <c r="A44" s="42">
        <v>1005</v>
      </c>
      <c r="B44" s="17">
        <v>244056</v>
      </c>
      <c r="C44" s="18">
        <v>0.18</v>
      </c>
      <c r="G44" s="42">
        <v>1005</v>
      </c>
      <c r="H44" s="53">
        <v>244056</v>
      </c>
      <c r="I44" s="47">
        <v>0.18</v>
      </c>
      <c r="S44" s="18"/>
    </row>
    <row r="45" spans="1:19">
      <c r="A45" s="42">
        <v>1006</v>
      </c>
      <c r="B45" s="17">
        <v>142668</v>
      </c>
      <c r="C45" s="18">
        <v>0.2</v>
      </c>
      <c r="G45" s="42">
        <v>1006</v>
      </c>
      <c r="H45" s="53">
        <v>142668</v>
      </c>
      <c r="I45" s="47">
        <v>0.2</v>
      </c>
      <c r="S45" s="18"/>
    </row>
    <row r="46" spans="1:19">
      <c r="A46" s="42">
        <v>1007</v>
      </c>
      <c r="B46" s="17">
        <v>81944</v>
      </c>
      <c r="C46" s="18">
        <v>0</v>
      </c>
      <c r="G46" s="42">
        <v>1007</v>
      </c>
      <c r="H46" s="53">
        <v>81944</v>
      </c>
      <c r="I46" s="47">
        <v>0</v>
      </c>
      <c r="S46" s="18"/>
    </row>
    <row r="47" spans="1:19">
      <c r="A47" s="42">
        <v>1008</v>
      </c>
      <c r="B47" s="17">
        <v>19104</v>
      </c>
      <c r="C47" s="18">
        <v>0.11</v>
      </c>
      <c r="G47" s="42">
        <v>1008</v>
      </c>
      <c r="H47" s="53">
        <v>19104</v>
      </c>
      <c r="I47" s="47">
        <v>0.11</v>
      </c>
      <c r="S47" s="18"/>
    </row>
    <row r="48" spans="1:19">
      <c r="A48" s="42">
        <v>1009</v>
      </c>
      <c r="B48" s="17">
        <v>75858</v>
      </c>
      <c r="C48" s="18">
        <v>0.04</v>
      </c>
      <c r="G48" s="42">
        <v>1009</v>
      </c>
      <c r="H48" s="53">
        <v>75858</v>
      </c>
      <c r="I48" s="47">
        <v>0.04</v>
      </c>
      <c r="S48" s="18"/>
    </row>
    <row r="49" spans="1:19">
      <c r="A49" s="42">
        <v>1010</v>
      </c>
      <c r="B49" s="17">
        <v>45849</v>
      </c>
      <c r="C49" s="18">
        <v>0.11</v>
      </c>
      <c r="G49" s="42">
        <v>1010</v>
      </c>
      <c r="H49" s="53">
        <v>45849</v>
      </c>
      <c r="I49" s="47">
        <v>0.11</v>
      </c>
      <c r="S49" s="18"/>
    </row>
    <row r="50" spans="1:19">
      <c r="A50" s="42">
        <v>1011</v>
      </c>
      <c r="B50" s="17">
        <v>207088</v>
      </c>
      <c r="C50" s="18">
        <v>0.02</v>
      </c>
      <c r="G50" s="42">
        <v>1011</v>
      </c>
      <c r="H50" s="53">
        <v>207088</v>
      </c>
      <c r="I50" s="47">
        <v>0.02</v>
      </c>
      <c r="S50" s="18"/>
    </row>
    <row r="51" spans="1:19">
      <c r="A51" s="42">
        <v>1012</v>
      </c>
      <c r="B51" s="17">
        <v>13617</v>
      </c>
      <c r="C51" s="18">
        <v>0.18</v>
      </c>
      <c r="G51" s="42">
        <v>1012</v>
      </c>
      <c r="H51" s="53">
        <v>13617</v>
      </c>
      <c r="I51" s="47">
        <v>0.18</v>
      </c>
      <c r="S51" s="18"/>
    </row>
    <row r="52" spans="1:19">
      <c r="A52" s="42">
        <v>1013</v>
      </c>
      <c r="B52" s="17">
        <v>103761</v>
      </c>
      <c r="C52" s="18">
        <v>0.11</v>
      </c>
      <c r="G52" s="42">
        <v>1013</v>
      </c>
      <c r="H52" s="53">
        <v>103761</v>
      </c>
      <c r="I52" s="47">
        <v>0.11</v>
      </c>
      <c r="S52" s="18"/>
    </row>
    <row r="53" spans="1:19">
      <c r="A53" s="42">
        <v>1014</v>
      </c>
      <c r="B53" s="17">
        <v>65668</v>
      </c>
      <c r="C53" s="18">
        <v>0.03</v>
      </c>
      <c r="G53" s="42">
        <v>1014</v>
      </c>
      <c r="H53" s="53">
        <v>65668</v>
      </c>
      <c r="I53" s="47">
        <v>0.03</v>
      </c>
      <c r="S53" s="18"/>
    </row>
    <row r="54" spans="1:19">
      <c r="A54" s="42">
        <v>1015</v>
      </c>
      <c r="B54" s="17">
        <v>26572</v>
      </c>
      <c r="C54" s="18">
        <v>0.02</v>
      </c>
      <c r="G54" s="42">
        <v>1015</v>
      </c>
      <c r="H54" s="53">
        <v>26572</v>
      </c>
      <c r="I54" s="47">
        <v>0.02</v>
      </c>
      <c r="S54" s="18"/>
    </row>
    <row r="55" spans="1:19">
      <c r="A55" s="42">
        <v>1016</v>
      </c>
      <c r="B55" s="17">
        <v>157992</v>
      </c>
      <c r="C55" s="18">
        <v>0.12</v>
      </c>
      <c r="G55" s="42">
        <v>1016</v>
      </c>
      <c r="H55" s="53">
        <v>157992</v>
      </c>
      <c r="I55" s="47">
        <v>0.12</v>
      </c>
      <c r="S55" s="18"/>
    </row>
    <row r="56" spans="1:19">
      <c r="A56" s="42">
        <v>1017</v>
      </c>
      <c r="B56" s="17">
        <v>27342</v>
      </c>
      <c r="C56" s="18">
        <v>0.12</v>
      </c>
      <c r="G56" s="42">
        <v>1017</v>
      </c>
      <c r="H56" s="53">
        <v>27342</v>
      </c>
      <c r="I56" s="47">
        <v>0.12</v>
      </c>
      <c r="S56" s="18"/>
    </row>
    <row r="57" spans="1:19">
      <c r="A57" s="42">
        <v>1018</v>
      </c>
      <c r="B57" s="17">
        <v>410481</v>
      </c>
      <c r="C57" s="18">
        <v>0.04</v>
      </c>
      <c r="G57" s="42">
        <v>1018</v>
      </c>
      <c r="H57" s="53">
        <v>410481</v>
      </c>
      <c r="I57" s="47">
        <v>0.04</v>
      </c>
      <c r="S57" s="18"/>
    </row>
    <row r="58" spans="1:19">
      <c r="A58" s="42">
        <v>1019</v>
      </c>
      <c r="B58" s="17">
        <v>40050</v>
      </c>
      <c r="C58" s="18">
        <v>0.16</v>
      </c>
      <c r="G58" s="42">
        <v>1019</v>
      </c>
      <c r="H58" s="53">
        <v>40050</v>
      </c>
      <c r="I58" s="47">
        <v>0.16</v>
      </c>
      <c r="S58" s="18"/>
    </row>
    <row r="59" spans="1:19">
      <c r="A59" s="42">
        <v>1020</v>
      </c>
      <c r="B59" s="17">
        <v>12018</v>
      </c>
      <c r="C59" s="18">
        <v>0.19</v>
      </c>
      <c r="G59" s="42">
        <v>1020</v>
      </c>
      <c r="H59" s="53">
        <v>12018</v>
      </c>
      <c r="I59" s="47">
        <v>0.19</v>
      </c>
      <c r="S59" s="18"/>
    </row>
    <row r="60" spans="1:19">
      <c r="A60" s="42">
        <v>1021</v>
      </c>
      <c r="B60" s="17">
        <v>63502</v>
      </c>
      <c r="C60" s="18">
        <v>7.0000000000000007E-2</v>
      </c>
      <c r="G60" s="42">
        <v>1021</v>
      </c>
      <c r="H60" s="53">
        <v>63502</v>
      </c>
      <c r="I60" s="47">
        <v>7.0000000000000007E-2</v>
      </c>
      <c r="S60" s="18"/>
    </row>
    <row r="61" spans="1:19">
      <c r="A61" s="42">
        <v>1022</v>
      </c>
      <c r="B61" s="17">
        <v>40620</v>
      </c>
      <c r="C61" s="18">
        <v>0.12</v>
      </c>
      <c r="G61" s="42">
        <v>1022</v>
      </c>
      <c r="H61" s="53">
        <v>40620</v>
      </c>
      <c r="I61" s="47">
        <v>0.12</v>
      </c>
      <c r="S61" s="18"/>
    </row>
    <row r="62" spans="1:19" ht="15" thickBot="1">
      <c r="A62" s="42">
        <v>1023</v>
      </c>
      <c r="B62" s="17">
        <v>154266</v>
      </c>
      <c r="C62" s="18">
        <v>0.04</v>
      </c>
      <c r="D62" s="19"/>
      <c r="E62" s="19"/>
      <c r="F62" s="19"/>
      <c r="G62" s="42">
        <v>1023</v>
      </c>
      <c r="H62" s="53">
        <v>154266</v>
      </c>
      <c r="I62" s="47">
        <v>0.04</v>
      </c>
      <c r="J62" s="19"/>
      <c r="K62" s="19"/>
      <c r="L62" s="19"/>
      <c r="M62" s="19"/>
      <c r="N62" s="19"/>
      <c r="O62" s="19"/>
      <c r="P62" s="19"/>
      <c r="Q62" s="19"/>
      <c r="R62" s="19"/>
      <c r="S62" s="20"/>
    </row>
    <row r="63" spans="1:19">
      <c r="A63" s="42">
        <v>1024</v>
      </c>
      <c r="B63" s="17">
        <v>86319</v>
      </c>
      <c r="C63" s="18">
        <v>7.0000000000000007E-2</v>
      </c>
      <c r="G63" s="42">
        <v>1024</v>
      </c>
      <c r="H63" s="53">
        <v>86319</v>
      </c>
      <c r="I63" s="47">
        <v>7.0000000000000007E-2</v>
      </c>
      <c r="S63" s="18"/>
    </row>
    <row r="64" spans="1:19">
      <c r="A64" s="42">
        <v>1025</v>
      </c>
      <c r="B64" s="17">
        <v>44146</v>
      </c>
      <c r="C64" s="18">
        <v>0.06</v>
      </c>
      <c r="G64" s="42">
        <v>1025</v>
      </c>
      <c r="H64" s="53">
        <v>44146</v>
      </c>
      <c r="I64" s="47">
        <v>0.06</v>
      </c>
      <c r="S64" s="18"/>
    </row>
    <row r="65" spans="1:19">
      <c r="A65" s="42">
        <v>1026</v>
      </c>
      <c r="B65" s="17">
        <v>16541</v>
      </c>
      <c r="C65" s="18">
        <v>0.14000000000000001</v>
      </c>
      <c r="G65" s="42">
        <v>1026</v>
      </c>
      <c r="H65" s="53">
        <v>16541</v>
      </c>
      <c r="I65" s="47">
        <v>0.14000000000000001</v>
      </c>
      <c r="S65" s="18"/>
    </row>
    <row r="66" spans="1:19">
      <c r="A66" s="42">
        <v>1027</v>
      </c>
      <c r="B66" s="17">
        <v>257</v>
      </c>
      <c r="C66" s="18">
        <v>0.13</v>
      </c>
      <c r="G66" s="42">
        <v>1027</v>
      </c>
      <c r="H66" s="53">
        <v>257</v>
      </c>
      <c r="I66" s="47">
        <v>0.13</v>
      </c>
      <c r="S66" s="18"/>
    </row>
    <row r="67" spans="1:19">
      <c r="A67" s="42">
        <v>1028</v>
      </c>
      <c r="B67" s="17">
        <v>271334</v>
      </c>
      <c r="C67" s="18">
        <v>0.2</v>
      </c>
      <c r="G67" s="42">
        <v>1028</v>
      </c>
      <c r="H67" s="53">
        <v>271334</v>
      </c>
      <c r="I67" s="47">
        <v>0.2</v>
      </c>
      <c r="S67" s="18"/>
    </row>
    <row r="68" spans="1:19">
      <c r="A68" s="42">
        <v>1029</v>
      </c>
      <c r="B68" s="17">
        <v>46950</v>
      </c>
      <c r="C68" s="18">
        <v>0.05</v>
      </c>
      <c r="G68" s="42">
        <v>1029</v>
      </c>
      <c r="H68" s="53">
        <v>46950</v>
      </c>
      <c r="I68" s="47">
        <v>0.05</v>
      </c>
      <c r="S68" s="18"/>
    </row>
    <row r="69" spans="1:19">
      <c r="A69" s="42">
        <v>1030</v>
      </c>
      <c r="B69" s="17">
        <v>101695</v>
      </c>
      <c r="C69" s="18">
        <v>0.09</v>
      </c>
      <c r="G69" s="42">
        <v>1030</v>
      </c>
      <c r="H69" s="53">
        <v>101695</v>
      </c>
      <c r="I69" s="47">
        <v>0.09</v>
      </c>
      <c r="S69" s="18"/>
    </row>
    <row r="70" spans="1:19">
      <c r="A70" s="42">
        <v>1031</v>
      </c>
      <c r="B70" s="17">
        <v>227857</v>
      </c>
      <c r="C70" s="18">
        <v>0.05</v>
      </c>
      <c r="G70" s="42">
        <v>1031</v>
      </c>
      <c r="H70" s="53">
        <v>227857</v>
      </c>
      <c r="I70" s="47">
        <v>0.05</v>
      </c>
      <c r="S70" s="18"/>
    </row>
    <row r="71" spans="1:19">
      <c r="A71" s="42">
        <v>1032</v>
      </c>
      <c r="B71" s="17">
        <v>69055</v>
      </c>
      <c r="C71" s="18">
        <v>0.15</v>
      </c>
      <c r="G71" s="42">
        <v>1032</v>
      </c>
      <c r="H71" s="53">
        <v>69055</v>
      </c>
      <c r="I71" s="47">
        <v>0.15</v>
      </c>
      <c r="S71" s="18"/>
    </row>
    <row r="72" spans="1:19">
      <c r="A72" s="42">
        <v>1033</v>
      </c>
      <c r="B72" s="17">
        <v>273380</v>
      </c>
      <c r="C72" s="18">
        <v>0.14000000000000001</v>
      </c>
      <c r="G72" s="42">
        <v>1033</v>
      </c>
      <c r="H72" s="53">
        <v>273380</v>
      </c>
      <c r="I72" s="47">
        <v>0.14000000000000001</v>
      </c>
      <c r="S72" s="18"/>
    </row>
    <row r="73" spans="1:19">
      <c r="A73" s="42">
        <v>1034</v>
      </c>
      <c r="B73" s="17">
        <v>133980</v>
      </c>
      <c r="C73" s="18">
        <v>0.03</v>
      </c>
      <c r="G73" s="42">
        <v>1034</v>
      </c>
      <c r="H73" s="53">
        <v>133980</v>
      </c>
      <c r="I73" s="47">
        <v>0.03</v>
      </c>
      <c r="S73" s="18"/>
    </row>
    <row r="74" spans="1:19">
      <c r="A74" s="42">
        <v>1035</v>
      </c>
      <c r="B74" s="17">
        <v>213030</v>
      </c>
      <c r="C74" s="18">
        <v>0.04</v>
      </c>
      <c r="G74" s="42">
        <v>1035</v>
      </c>
      <c r="H74" s="53">
        <v>213030</v>
      </c>
      <c r="I74" s="47">
        <v>0.04</v>
      </c>
      <c r="S74" s="18"/>
    </row>
    <row r="75" spans="1:19">
      <c r="A75" s="42">
        <v>1036</v>
      </c>
      <c r="B75" s="17">
        <v>96996</v>
      </c>
      <c r="C75" s="18">
        <v>0.19</v>
      </c>
      <c r="G75" s="42">
        <v>1036</v>
      </c>
      <c r="H75" s="53">
        <v>96996</v>
      </c>
      <c r="I75" s="47">
        <v>0.19</v>
      </c>
      <c r="S75" s="18"/>
    </row>
    <row r="76" spans="1:19">
      <c r="A76" s="42">
        <v>1037</v>
      </c>
      <c r="B76" s="17">
        <v>78505</v>
      </c>
      <c r="C76" s="18">
        <v>0.16</v>
      </c>
      <c r="G76" s="42">
        <v>1037</v>
      </c>
      <c r="H76" s="53">
        <v>78505</v>
      </c>
      <c r="I76" s="47">
        <v>0.16</v>
      </c>
      <c r="S76" s="18"/>
    </row>
    <row r="77" spans="1:19">
      <c r="A77" s="42">
        <v>1038</v>
      </c>
      <c r="B77" s="17">
        <v>348648</v>
      </c>
      <c r="C77" s="18">
        <v>0.1</v>
      </c>
      <c r="G77" s="42">
        <v>1038</v>
      </c>
      <c r="H77" s="53">
        <v>348648</v>
      </c>
      <c r="I77" s="47">
        <v>0.1</v>
      </c>
      <c r="S77" s="18"/>
    </row>
    <row r="78" spans="1:19">
      <c r="A78" s="42">
        <v>1039</v>
      </c>
      <c r="B78" s="17">
        <v>13098</v>
      </c>
      <c r="C78" s="18">
        <v>0.01</v>
      </c>
      <c r="G78" s="42">
        <v>1039</v>
      </c>
      <c r="H78" s="53">
        <v>13098</v>
      </c>
      <c r="I78" s="47">
        <v>0.01</v>
      </c>
      <c r="S78" s="18"/>
    </row>
    <row r="79" spans="1:19">
      <c r="A79" s="42">
        <v>1040</v>
      </c>
      <c r="B79" s="17">
        <v>102956</v>
      </c>
      <c r="C79" s="18">
        <v>0.05</v>
      </c>
      <c r="G79" s="42">
        <v>1040</v>
      </c>
      <c r="H79" s="53">
        <v>102956</v>
      </c>
      <c r="I79" s="47">
        <v>0.05</v>
      </c>
      <c r="S79" s="18"/>
    </row>
    <row r="80" spans="1:19">
      <c r="A80" s="42">
        <v>1041</v>
      </c>
      <c r="B80" s="17">
        <v>112000</v>
      </c>
      <c r="C80" s="18">
        <v>0.08</v>
      </c>
      <c r="G80" s="42">
        <v>1041</v>
      </c>
      <c r="H80" s="53">
        <v>112000</v>
      </c>
      <c r="I80" s="47">
        <v>0.08</v>
      </c>
      <c r="S80" s="18"/>
    </row>
    <row r="81" spans="1:19">
      <c r="A81" s="42">
        <v>1042</v>
      </c>
      <c r="B81" s="17">
        <v>135248</v>
      </c>
      <c r="C81" s="18">
        <v>7.0000000000000007E-2</v>
      </c>
      <c r="G81" s="42">
        <v>1042</v>
      </c>
      <c r="H81" s="53">
        <v>135248</v>
      </c>
      <c r="I81" s="47">
        <v>7.0000000000000007E-2</v>
      </c>
      <c r="S81" s="18"/>
    </row>
    <row r="82" spans="1:19">
      <c r="A82" s="42">
        <v>1043</v>
      </c>
      <c r="B82" s="17">
        <v>192474</v>
      </c>
      <c r="C82" s="18">
        <v>0</v>
      </c>
      <c r="G82" s="42">
        <v>1043</v>
      </c>
      <c r="H82" s="53">
        <v>192474</v>
      </c>
      <c r="I82" s="47">
        <v>0</v>
      </c>
      <c r="S82" s="18"/>
    </row>
    <row r="83" spans="1:19">
      <c r="A83" s="42">
        <v>1044</v>
      </c>
      <c r="B83" s="17">
        <v>125209</v>
      </c>
      <c r="C83" s="18">
        <v>0.12</v>
      </c>
      <c r="G83" s="42">
        <v>1044</v>
      </c>
      <c r="H83" s="53">
        <v>125209</v>
      </c>
      <c r="I83" s="47">
        <v>0.12</v>
      </c>
      <c r="S83" s="18"/>
    </row>
    <row r="84" spans="1:19">
      <c r="A84" s="42">
        <v>1045</v>
      </c>
      <c r="B84" s="17">
        <v>27770</v>
      </c>
      <c r="C84" s="18">
        <v>0.13</v>
      </c>
      <c r="G84" s="42">
        <v>1045</v>
      </c>
      <c r="H84" s="53">
        <v>27770</v>
      </c>
      <c r="I84" s="47">
        <v>0.13</v>
      </c>
      <c r="S84" s="18"/>
    </row>
    <row r="85" spans="1:19">
      <c r="A85" s="42">
        <v>1046</v>
      </c>
      <c r="B85" s="17">
        <v>175176</v>
      </c>
      <c r="C85" s="18">
        <v>0.19</v>
      </c>
      <c r="G85" s="42">
        <v>1046</v>
      </c>
      <c r="H85" s="53">
        <v>175176</v>
      </c>
      <c r="I85" s="47">
        <v>0.19</v>
      </c>
      <c r="S85" s="18"/>
    </row>
    <row r="86" spans="1:19">
      <c r="A86" s="42">
        <v>1047</v>
      </c>
      <c r="B86" s="17">
        <v>174992</v>
      </c>
      <c r="C86" s="18">
        <v>0.06</v>
      </c>
      <c r="G86" s="42">
        <v>1047</v>
      </c>
      <c r="H86" s="53">
        <v>174992</v>
      </c>
      <c r="I86" s="47">
        <v>0.06</v>
      </c>
      <c r="S86" s="18"/>
    </row>
    <row r="87" spans="1:19">
      <c r="A87" s="42">
        <v>1048</v>
      </c>
      <c r="B87" s="17">
        <v>39846</v>
      </c>
      <c r="C87" s="18">
        <v>0.1</v>
      </c>
      <c r="G87" s="42">
        <v>1048</v>
      </c>
      <c r="H87" s="53">
        <v>39846</v>
      </c>
      <c r="I87" s="47">
        <v>0.1</v>
      </c>
      <c r="S87" s="18"/>
    </row>
    <row r="88" spans="1:19">
      <c r="A88" s="42">
        <v>1049</v>
      </c>
      <c r="B88" s="17">
        <v>211338</v>
      </c>
      <c r="C88" s="18">
        <v>0.11</v>
      </c>
      <c r="G88" s="42">
        <v>1049</v>
      </c>
      <c r="H88" s="53">
        <v>211338</v>
      </c>
      <c r="I88" s="47">
        <v>0.11</v>
      </c>
      <c r="S88" s="18"/>
    </row>
    <row r="89" spans="1:19">
      <c r="A89" s="42">
        <v>1050</v>
      </c>
      <c r="B89" s="17">
        <v>25754</v>
      </c>
      <c r="C89" s="18">
        <v>0</v>
      </c>
      <c r="G89" s="42">
        <v>1050</v>
      </c>
      <c r="H89" s="53">
        <v>25754</v>
      </c>
      <c r="I89" s="47">
        <v>0</v>
      </c>
      <c r="S89" s="18"/>
    </row>
    <row r="90" spans="1:19">
      <c r="A90" s="42">
        <v>1051</v>
      </c>
      <c r="B90" s="17">
        <v>39708</v>
      </c>
      <c r="C90" s="18">
        <v>0.08</v>
      </c>
      <c r="G90" s="42">
        <v>1051</v>
      </c>
      <c r="H90" s="53">
        <v>39708</v>
      </c>
      <c r="I90" s="47">
        <v>0.08</v>
      </c>
      <c r="S90" s="18"/>
    </row>
    <row r="91" spans="1:19">
      <c r="A91" s="42">
        <v>1052</v>
      </c>
      <c r="B91" s="17">
        <v>233880</v>
      </c>
      <c r="C91" s="18">
        <v>0.16</v>
      </c>
      <c r="G91" s="42">
        <v>1052</v>
      </c>
      <c r="H91" s="53">
        <v>233880</v>
      </c>
      <c r="I91" s="47">
        <v>0.16</v>
      </c>
      <c r="S91" s="18"/>
    </row>
    <row r="92" spans="1:19">
      <c r="A92" s="42">
        <v>1053</v>
      </c>
      <c r="B92" s="17">
        <v>93542</v>
      </c>
      <c r="C92" s="18">
        <v>0.02</v>
      </c>
      <c r="G92" s="42">
        <v>1053</v>
      </c>
      <c r="H92" s="53">
        <v>93542</v>
      </c>
      <c r="I92" s="47">
        <v>0.02</v>
      </c>
      <c r="S92" s="18"/>
    </row>
    <row r="93" spans="1:19">
      <c r="A93" s="42">
        <v>1054</v>
      </c>
      <c r="B93" s="17">
        <v>466460</v>
      </c>
      <c r="C93" s="18">
        <v>0.13</v>
      </c>
      <c r="G93" s="42">
        <v>1054</v>
      </c>
      <c r="H93" s="53">
        <v>466460</v>
      </c>
      <c r="I93" s="47">
        <v>0.13</v>
      </c>
      <c r="S93" s="18"/>
    </row>
    <row r="94" spans="1:19">
      <c r="A94" s="42">
        <v>1055</v>
      </c>
      <c r="B94" s="17">
        <v>69404</v>
      </c>
      <c r="C94" s="18">
        <v>0.15</v>
      </c>
      <c r="G94" s="42">
        <v>1055</v>
      </c>
      <c r="H94" s="53">
        <v>69404</v>
      </c>
      <c r="I94" s="47">
        <v>0.15</v>
      </c>
      <c r="S94" s="18"/>
    </row>
    <row r="95" spans="1:19">
      <c r="A95" s="42">
        <v>1056</v>
      </c>
      <c r="B95" s="17">
        <v>5677</v>
      </c>
      <c r="C95" s="18">
        <v>0.17</v>
      </c>
      <c r="G95" s="42">
        <v>1056</v>
      </c>
      <c r="H95" s="53">
        <v>5677</v>
      </c>
      <c r="I95" s="47">
        <v>0.17</v>
      </c>
      <c r="S95" s="18"/>
    </row>
    <row r="96" spans="1:19">
      <c r="A96" s="42">
        <v>1057</v>
      </c>
      <c r="B96" s="17">
        <v>120087</v>
      </c>
      <c r="C96" s="18">
        <v>0.01</v>
      </c>
      <c r="G96" s="42">
        <v>1057</v>
      </c>
      <c r="H96" s="53">
        <v>120087</v>
      </c>
      <c r="I96" s="47">
        <v>0.01</v>
      </c>
      <c r="S96" s="18"/>
    </row>
    <row r="97" spans="1:19">
      <c r="A97" s="42">
        <v>1058</v>
      </c>
      <c r="B97" s="17">
        <v>100254</v>
      </c>
      <c r="C97" s="18">
        <v>0.19</v>
      </c>
      <c r="G97" s="42">
        <v>1058</v>
      </c>
      <c r="H97" s="53">
        <v>100254</v>
      </c>
      <c r="I97" s="47">
        <v>0.19</v>
      </c>
      <c r="S97" s="18"/>
    </row>
    <row r="98" spans="1:19">
      <c r="A98" s="42">
        <v>1059</v>
      </c>
      <c r="B98" s="17">
        <v>379720</v>
      </c>
      <c r="C98" s="18">
        <v>0.03</v>
      </c>
      <c r="G98" s="42">
        <v>1059</v>
      </c>
      <c r="H98" s="53">
        <v>379720</v>
      </c>
      <c r="I98" s="47">
        <v>0.03</v>
      </c>
      <c r="S98" s="18"/>
    </row>
    <row r="99" spans="1:19">
      <c r="A99" s="42">
        <v>1060</v>
      </c>
      <c r="B99" s="17">
        <v>13524</v>
      </c>
      <c r="C99" s="18">
        <v>0.02</v>
      </c>
      <c r="G99" s="42">
        <v>1060</v>
      </c>
      <c r="H99" s="53">
        <v>13524</v>
      </c>
      <c r="I99" s="47">
        <v>0.02</v>
      </c>
      <c r="S99" s="18"/>
    </row>
    <row r="100" spans="1:19">
      <c r="A100" s="42">
        <v>1061</v>
      </c>
      <c r="B100" s="17">
        <v>129060</v>
      </c>
      <c r="C100" s="18">
        <v>0.05</v>
      </c>
      <c r="G100" s="42">
        <v>1061</v>
      </c>
      <c r="H100" s="53">
        <v>129060</v>
      </c>
      <c r="I100" s="47">
        <v>0.05</v>
      </c>
      <c r="S100" s="18"/>
    </row>
    <row r="101" spans="1:19">
      <c r="A101" s="42">
        <v>1062</v>
      </c>
      <c r="B101" s="17">
        <v>60417</v>
      </c>
      <c r="C101" s="18">
        <v>0.14000000000000001</v>
      </c>
      <c r="G101" s="42">
        <v>1062</v>
      </c>
      <c r="H101" s="53">
        <v>60417</v>
      </c>
      <c r="I101" s="47">
        <v>0.14000000000000001</v>
      </c>
      <c r="S101" s="18"/>
    </row>
    <row r="102" spans="1:19">
      <c r="A102" s="42">
        <v>1063</v>
      </c>
      <c r="B102" s="17">
        <v>100540</v>
      </c>
      <c r="C102" s="18">
        <v>0.11</v>
      </c>
      <c r="G102" s="42">
        <v>1063</v>
      </c>
      <c r="H102" s="53">
        <v>100540</v>
      </c>
      <c r="I102" s="47">
        <v>0.11</v>
      </c>
      <c r="S102" s="18"/>
    </row>
    <row r="103" spans="1:19">
      <c r="A103" s="42">
        <v>1064</v>
      </c>
      <c r="B103" s="17">
        <v>45766</v>
      </c>
      <c r="C103" s="18">
        <v>0</v>
      </c>
      <c r="G103" s="42">
        <v>1064</v>
      </c>
      <c r="H103" s="53">
        <v>45766</v>
      </c>
      <c r="I103" s="47">
        <v>0</v>
      </c>
      <c r="S103" s="18"/>
    </row>
    <row r="104" spans="1:19">
      <c r="A104" s="42">
        <v>1065</v>
      </c>
      <c r="B104" s="17">
        <v>126075</v>
      </c>
      <c r="C104" s="18">
        <v>7.0000000000000007E-2</v>
      </c>
      <c r="G104" s="42">
        <v>1065</v>
      </c>
      <c r="H104" s="53">
        <v>126075</v>
      </c>
      <c r="I104" s="47">
        <v>7.0000000000000007E-2</v>
      </c>
      <c r="S104" s="18"/>
    </row>
    <row r="105" spans="1:19">
      <c r="A105" s="42">
        <v>1066</v>
      </c>
      <c r="B105" s="17">
        <v>38321</v>
      </c>
      <c r="C105" s="18">
        <v>0.08</v>
      </c>
      <c r="G105" s="42">
        <v>1066</v>
      </c>
      <c r="H105" s="53">
        <v>38321</v>
      </c>
      <c r="I105" s="47">
        <v>0.08</v>
      </c>
      <c r="S105" s="18"/>
    </row>
    <row r="106" spans="1:19">
      <c r="A106" s="42">
        <v>1067</v>
      </c>
      <c r="B106" s="17">
        <v>17539</v>
      </c>
      <c r="C106" s="18">
        <v>0.2</v>
      </c>
      <c r="G106" s="42">
        <v>1067</v>
      </c>
      <c r="H106" s="53">
        <v>17539</v>
      </c>
      <c r="I106" s="47">
        <v>0.2</v>
      </c>
      <c r="S106" s="18"/>
    </row>
    <row r="107" spans="1:19">
      <c r="A107" s="42">
        <v>1068</v>
      </c>
      <c r="B107" s="17">
        <v>4029</v>
      </c>
      <c r="C107" s="18">
        <v>0.17</v>
      </c>
      <c r="G107" s="42">
        <v>1068</v>
      </c>
      <c r="H107" s="53">
        <v>4029</v>
      </c>
      <c r="I107" s="47">
        <v>0.17</v>
      </c>
      <c r="S107" s="18"/>
    </row>
    <row r="108" spans="1:19">
      <c r="A108" s="42">
        <v>1069</v>
      </c>
      <c r="B108" s="17">
        <v>49922</v>
      </c>
      <c r="C108" s="18">
        <v>0.02</v>
      </c>
      <c r="G108" s="42">
        <v>1069</v>
      </c>
      <c r="H108" s="53">
        <v>49922</v>
      </c>
      <c r="I108" s="47">
        <v>0.02</v>
      </c>
      <c r="S108" s="18"/>
    </row>
    <row r="109" spans="1:19">
      <c r="A109" s="42">
        <v>1070</v>
      </c>
      <c r="B109" s="17">
        <v>95661</v>
      </c>
      <c r="C109" s="18">
        <v>0.13</v>
      </c>
      <c r="G109" s="42">
        <v>1070</v>
      </c>
      <c r="H109" s="53">
        <v>95661</v>
      </c>
      <c r="I109" s="47">
        <v>0.13</v>
      </c>
      <c r="S109" s="18"/>
    </row>
    <row r="110" spans="1:19">
      <c r="A110" s="42">
        <v>1071</v>
      </c>
      <c r="B110" s="17">
        <v>41576</v>
      </c>
      <c r="C110" s="18">
        <v>0.11</v>
      </c>
      <c r="G110" s="42">
        <v>1071</v>
      </c>
      <c r="H110" s="53">
        <v>41576</v>
      </c>
      <c r="I110" s="47">
        <v>0.11</v>
      </c>
      <c r="S110" s="18"/>
    </row>
    <row r="111" spans="1:19">
      <c r="A111" s="42">
        <v>1072</v>
      </c>
      <c r="B111" s="17">
        <v>67632</v>
      </c>
      <c r="C111" s="18">
        <v>0.12</v>
      </c>
      <c r="G111" s="42">
        <v>1072</v>
      </c>
      <c r="H111" s="53">
        <v>67632</v>
      </c>
      <c r="I111" s="47">
        <v>0.12</v>
      </c>
      <c r="S111" s="18"/>
    </row>
    <row r="112" spans="1:19">
      <c r="A112" s="42">
        <v>1073</v>
      </c>
      <c r="B112" s="17">
        <v>332073</v>
      </c>
      <c r="C112" s="18">
        <v>0.06</v>
      </c>
      <c r="G112" s="42">
        <v>1073</v>
      </c>
      <c r="H112" s="53">
        <v>332073</v>
      </c>
      <c r="I112" s="47">
        <v>0.06</v>
      </c>
      <c r="S112" s="18"/>
    </row>
    <row r="113" spans="1:19">
      <c r="A113" s="42">
        <v>1074</v>
      </c>
      <c r="B113" s="17">
        <v>52814</v>
      </c>
      <c r="C113" s="18">
        <v>0.11</v>
      </c>
      <c r="G113" s="42">
        <v>1074</v>
      </c>
      <c r="H113" s="53">
        <v>52814</v>
      </c>
      <c r="I113" s="47">
        <v>0.11</v>
      </c>
      <c r="S113" s="18"/>
    </row>
    <row r="114" spans="1:19">
      <c r="A114" s="42">
        <v>1075</v>
      </c>
      <c r="B114" s="17">
        <v>6228</v>
      </c>
      <c r="C114" s="18">
        <v>0.12</v>
      </c>
      <c r="G114" s="42">
        <v>1075</v>
      </c>
      <c r="H114" s="53">
        <v>6228</v>
      </c>
      <c r="I114" s="47">
        <v>0.12</v>
      </c>
      <c r="S114" s="18"/>
    </row>
    <row r="115" spans="1:19">
      <c r="A115" s="42">
        <v>1076</v>
      </c>
      <c r="B115" s="17">
        <v>196120</v>
      </c>
      <c r="C115" s="18">
        <v>0.14000000000000001</v>
      </c>
      <c r="G115" s="42">
        <v>1076</v>
      </c>
      <c r="H115" s="53">
        <v>196120</v>
      </c>
      <c r="I115" s="47">
        <v>0.14000000000000001</v>
      </c>
      <c r="S115" s="18"/>
    </row>
    <row r="116" spans="1:19">
      <c r="A116" s="42">
        <v>1077</v>
      </c>
      <c r="B116" s="17">
        <v>150930</v>
      </c>
      <c r="C116" s="18">
        <v>0.08</v>
      </c>
      <c r="G116" s="42">
        <v>1077</v>
      </c>
      <c r="H116" s="53">
        <v>150930</v>
      </c>
      <c r="I116" s="47">
        <v>0.08</v>
      </c>
      <c r="S116" s="18"/>
    </row>
    <row r="117" spans="1:19">
      <c r="A117" s="42">
        <v>1078</v>
      </c>
      <c r="B117" s="17">
        <v>99792</v>
      </c>
      <c r="C117" s="18">
        <v>0.14000000000000001</v>
      </c>
      <c r="G117" s="42">
        <v>1078</v>
      </c>
      <c r="H117" s="53">
        <v>99792</v>
      </c>
      <c r="I117" s="47">
        <v>0.14000000000000001</v>
      </c>
      <c r="S117" s="18"/>
    </row>
    <row r="118" spans="1:19">
      <c r="A118" s="42">
        <v>1079</v>
      </c>
      <c r="B118" s="17">
        <v>107160</v>
      </c>
      <c r="C118" s="18">
        <v>0.1</v>
      </c>
      <c r="G118" s="42">
        <v>1079</v>
      </c>
      <c r="H118" s="53">
        <v>107160</v>
      </c>
      <c r="I118" s="47">
        <v>0.1</v>
      </c>
      <c r="S118" s="18"/>
    </row>
    <row r="119" spans="1:19">
      <c r="A119" s="42">
        <v>1080</v>
      </c>
      <c r="B119" s="17">
        <v>292012</v>
      </c>
      <c r="C119" s="18">
        <v>0.16</v>
      </c>
      <c r="G119" s="42">
        <v>1080</v>
      </c>
      <c r="H119" s="53">
        <v>292012</v>
      </c>
      <c r="I119" s="47">
        <v>0.16</v>
      </c>
      <c r="S119" s="18"/>
    </row>
    <row r="120" spans="1:19">
      <c r="A120" s="42">
        <v>1081</v>
      </c>
      <c r="B120" s="17">
        <v>268668</v>
      </c>
      <c r="C120" s="18">
        <v>0.11</v>
      </c>
      <c r="G120" s="42">
        <v>1081</v>
      </c>
      <c r="H120" s="53">
        <v>268668</v>
      </c>
      <c r="I120" s="47">
        <v>0.11</v>
      </c>
      <c r="S120" s="18"/>
    </row>
    <row r="121" spans="1:19">
      <c r="A121" s="42">
        <v>1082</v>
      </c>
      <c r="B121" s="17">
        <v>389322</v>
      </c>
      <c r="C121" s="18">
        <v>0.02</v>
      </c>
      <c r="G121" s="42">
        <v>1082</v>
      </c>
      <c r="H121" s="53">
        <v>389322</v>
      </c>
      <c r="I121" s="47">
        <v>0.02</v>
      </c>
      <c r="S121" s="18"/>
    </row>
    <row r="122" spans="1:19">
      <c r="A122" s="42">
        <v>1083</v>
      </c>
      <c r="B122" s="17">
        <v>212445</v>
      </c>
      <c r="C122" s="18">
        <v>0.03</v>
      </c>
      <c r="G122" s="42">
        <v>1083</v>
      </c>
      <c r="H122" s="53">
        <v>212445</v>
      </c>
      <c r="I122" s="47">
        <v>0.03</v>
      </c>
      <c r="S122" s="18"/>
    </row>
    <row r="123" spans="1:19">
      <c r="A123" s="42">
        <v>1084</v>
      </c>
      <c r="B123" s="17">
        <v>273010</v>
      </c>
      <c r="C123" s="18">
        <v>0.15</v>
      </c>
      <c r="G123" s="42">
        <v>1084</v>
      </c>
      <c r="H123" s="53">
        <v>273010</v>
      </c>
      <c r="I123" s="47">
        <v>0.15</v>
      </c>
      <c r="S123" s="18"/>
    </row>
    <row r="124" spans="1:19">
      <c r="A124" s="42">
        <v>1085</v>
      </c>
      <c r="B124" s="17">
        <v>113472</v>
      </c>
      <c r="C124" s="18">
        <v>0.06</v>
      </c>
      <c r="G124" s="42">
        <v>1085</v>
      </c>
      <c r="H124" s="53">
        <v>113472</v>
      </c>
      <c r="I124" s="47">
        <v>0.06</v>
      </c>
      <c r="S124" s="18"/>
    </row>
    <row r="125" spans="1:19">
      <c r="A125" s="42">
        <v>1086</v>
      </c>
      <c r="B125" s="17">
        <v>167952</v>
      </c>
      <c r="C125" s="18">
        <v>0.12</v>
      </c>
      <c r="G125" s="42">
        <v>1086</v>
      </c>
      <c r="H125" s="53">
        <v>167952</v>
      </c>
      <c r="I125" s="47">
        <v>0.12</v>
      </c>
      <c r="S125" s="18"/>
    </row>
    <row r="126" spans="1:19">
      <c r="A126" s="42">
        <v>1087</v>
      </c>
      <c r="B126" s="17">
        <v>90080</v>
      </c>
      <c r="C126" s="18">
        <v>7.0000000000000007E-2</v>
      </c>
      <c r="G126" s="42">
        <v>1087</v>
      </c>
      <c r="H126" s="53">
        <v>90080</v>
      </c>
      <c r="I126" s="47">
        <v>7.0000000000000007E-2</v>
      </c>
      <c r="S126" s="18"/>
    </row>
    <row r="127" spans="1:19">
      <c r="A127" s="42">
        <v>1088</v>
      </c>
      <c r="B127" s="17">
        <v>91888</v>
      </c>
      <c r="C127" s="18">
        <v>0.17</v>
      </c>
      <c r="G127" s="42">
        <v>1088</v>
      </c>
      <c r="H127" s="53">
        <v>91888</v>
      </c>
      <c r="I127" s="47">
        <v>0.17</v>
      </c>
      <c r="S127" s="18"/>
    </row>
    <row r="128" spans="1:19">
      <c r="A128" s="42">
        <v>1089</v>
      </c>
      <c r="B128" s="17">
        <v>271848</v>
      </c>
      <c r="C128" s="18">
        <v>0.13</v>
      </c>
      <c r="G128" s="42">
        <v>1089</v>
      </c>
      <c r="H128" s="53">
        <v>271848</v>
      </c>
      <c r="I128" s="47">
        <v>0.13</v>
      </c>
      <c r="S128" s="18"/>
    </row>
    <row r="129" spans="1:19">
      <c r="A129" s="42">
        <v>1090</v>
      </c>
      <c r="B129" s="17">
        <v>214776</v>
      </c>
      <c r="C129" s="18">
        <v>0.01</v>
      </c>
      <c r="G129" s="42">
        <v>1090</v>
      </c>
      <c r="H129" s="53">
        <v>214776</v>
      </c>
      <c r="I129" s="47">
        <v>0.01</v>
      </c>
      <c r="S129" s="18"/>
    </row>
    <row r="130" spans="1:19">
      <c r="A130" s="42">
        <v>1091</v>
      </c>
      <c r="B130" s="17">
        <v>233010</v>
      </c>
      <c r="C130" s="18">
        <v>0.12</v>
      </c>
      <c r="G130" s="42">
        <v>1091</v>
      </c>
      <c r="H130" s="53">
        <v>233010</v>
      </c>
      <c r="I130" s="47">
        <v>0.12</v>
      </c>
      <c r="S130" s="18"/>
    </row>
    <row r="131" spans="1:19">
      <c r="A131" s="42">
        <v>1092</v>
      </c>
      <c r="B131" s="17">
        <v>211296</v>
      </c>
      <c r="C131" s="18">
        <v>0.2</v>
      </c>
      <c r="G131" s="42">
        <v>1092</v>
      </c>
      <c r="H131" s="53">
        <v>211296</v>
      </c>
      <c r="I131" s="47">
        <v>0.2</v>
      </c>
      <c r="S131" s="18"/>
    </row>
    <row r="132" spans="1:19">
      <c r="A132" s="42">
        <v>1093</v>
      </c>
      <c r="B132" s="17">
        <v>14263</v>
      </c>
      <c r="C132" s="18">
        <v>0.19</v>
      </c>
      <c r="G132" s="42">
        <v>1093</v>
      </c>
      <c r="H132" s="53">
        <v>14263</v>
      </c>
      <c r="I132" s="47">
        <v>0.19</v>
      </c>
      <c r="S132" s="18"/>
    </row>
    <row r="133" spans="1:19">
      <c r="A133" s="42">
        <v>1094</v>
      </c>
      <c r="B133" s="17">
        <v>14508</v>
      </c>
      <c r="C133" s="18">
        <v>0.09</v>
      </c>
      <c r="G133" s="42">
        <v>1094</v>
      </c>
      <c r="H133" s="53">
        <v>14508</v>
      </c>
      <c r="I133" s="47">
        <v>0.09</v>
      </c>
      <c r="S133" s="18"/>
    </row>
    <row r="134" spans="1:19">
      <c r="A134" s="42">
        <v>1095</v>
      </c>
      <c r="B134" s="17">
        <v>52745</v>
      </c>
      <c r="C134" s="18">
        <v>0.13</v>
      </c>
      <c r="G134" s="42">
        <v>1095</v>
      </c>
      <c r="H134" s="53">
        <v>52745</v>
      </c>
      <c r="I134" s="47">
        <v>0.13</v>
      </c>
      <c r="S134" s="18"/>
    </row>
    <row r="135" spans="1:19">
      <c r="A135" s="42">
        <v>1096</v>
      </c>
      <c r="B135" s="17">
        <v>291600</v>
      </c>
      <c r="C135" s="18">
        <v>0.06</v>
      </c>
      <c r="G135" s="42">
        <v>1096</v>
      </c>
      <c r="H135" s="53">
        <v>291600</v>
      </c>
      <c r="I135" s="47">
        <v>0.06</v>
      </c>
      <c r="S135" s="18"/>
    </row>
    <row r="136" spans="1:19">
      <c r="A136" s="42">
        <v>1097</v>
      </c>
      <c r="B136" s="17">
        <v>225570</v>
      </c>
      <c r="C136" s="18">
        <v>0.12</v>
      </c>
      <c r="G136" s="42">
        <v>1097</v>
      </c>
      <c r="H136" s="53">
        <v>225570</v>
      </c>
      <c r="I136" s="47">
        <v>0.12</v>
      </c>
      <c r="S136" s="18"/>
    </row>
    <row r="137" spans="1:19">
      <c r="A137" s="42">
        <v>1098</v>
      </c>
      <c r="B137" s="17">
        <v>25968</v>
      </c>
      <c r="C137" s="18">
        <v>0.1</v>
      </c>
      <c r="G137" s="42">
        <v>1098</v>
      </c>
      <c r="H137" s="53">
        <v>25968</v>
      </c>
      <c r="I137" s="47">
        <v>0.1</v>
      </c>
      <c r="S137" s="18"/>
    </row>
    <row r="138" spans="1:19">
      <c r="A138" s="42">
        <v>1099</v>
      </c>
      <c r="B138" s="17">
        <v>154497</v>
      </c>
      <c r="C138" s="18">
        <v>0.01</v>
      </c>
      <c r="G138" s="42">
        <v>1099</v>
      </c>
      <c r="H138" s="53">
        <v>154497</v>
      </c>
      <c r="I138" s="47">
        <v>0.01</v>
      </c>
      <c r="S138" s="18"/>
    </row>
    <row r="139" spans="1:19">
      <c r="A139" s="42">
        <v>1100</v>
      </c>
      <c r="B139" s="17">
        <v>84060</v>
      </c>
      <c r="C139" s="18">
        <v>7.0000000000000007E-2</v>
      </c>
      <c r="G139" s="42">
        <v>1100</v>
      </c>
      <c r="H139" s="53">
        <v>84060</v>
      </c>
      <c r="I139" s="47">
        <v>7.0000000000000007E-2</v>
      </c>
      <c r="S139" s="18"/>
    </row>
    <row r="140" spans="1:19">
      <c r="A140" s="42">
        <v>1101</v>
      </c>
      <c r="B140" s="17">
        <v>39612</v>
      </c>
      <c r="C140" s="18">
        <v>0.05</v>
      </c>
      <c r="G140" s="42">
        <v>1101</v>
      </c>
      <c r="H140" s="53">
        <v>39612</v>
      </c>
      <c r="I140" s="47">
        <v>0.05</v>
      </c>
      <c r="S140" s="18"/>
    </row>
    <row r="141" spans="1:19">
      <c r="A141" s="42">
        <v>1102</v>
      </c>
      <c r="B141" s="17">
        <v>102050</v>
      </c>
      <c r="C141" s="18">
        <v>0.02</v>
      </c>
      <c r="G141" s="42">
        <v>1102</v>
      </c>
      <c r="H141" s="53">
        <v>102050</v>
      </c>
      <c r="I141" s="47">
        <v>0.02</v>
      </c>
      <c r="S141" s="18"/>
    </row>
    <row r="142" spans="1:19">
      <c r="A142" s="42">
        <v>1103</v>
      </c>
      <c r="B142" s="17">
        <v>125028</v>
      </c>
      <c r="C142" s="18">
        <v>0.11</v>
      </c>
      <c r="G142" s="42">
        <v>1103</v>
      </c>
      <c r="H142" s="53">
        <v>125028</v>
      </c>
      <c r="I142" s="47">
        <v>0.11</v>
      </c>
      <c r="S142" s="18"/>
    </row>
    <row r="143" spans="1:19">
      <c r="A143" s="42">
        <v>1104</v>
      </c>
      <c r="B143" s="17">
        <v>320306</v>
      </c>
      <c r="C143" s="18">
        <v>0.03</v>
      </c>
      <c r="G143" s="42">
        <v>1104</v>
      </c>
      <c r="H143" s="53">
        <v>320306</v>
      </c>
      <c r="I143" s="47">
        <v>0.03</v>
      </c>
      <c r="S143" s="18"/>
    </row>
    <row r="144" spans="1:19">
      <c r="A144" s="42">
        <v>1105</v>
      </c>
      <c r="B144" s="17">
        <v>4071</v>
      </c>
      <c r="C144" s="18">
        <v>0.19</v>
      </c>
      <c r="G144" s="42">
        <v>1105</v>
      </c>
      <c r="H144" s="53">
        <v>4071</v>
      </c>
      <c r="I144" s="47">
        <v>0.19</v>
      </c>
      <c r="S144" s="18"/>
    </row>
    <row r="145" spans="1:19">
      <c r="A145" s="42">
        <v>1106</v>
      </c>
      <c r="B145" s="17">
        <v>21761</v>
      </c>
      <c r="C145" s="18">
        <v>0.18</v>
      </c>
      <c r="G145" s="42">
        <v>1106</v>
      </c>
      <c r="H145" s="53">
        <v>21761</v>
      </c>
      <c r="I145" s="47">
        <v>0.18</v>
      </c>
      <c r="S145" s="18"/>
    </row>
    <row r="146" spans="1:19">
      <c r="A146" s="42">
        <v>1107</v>
      </c>
      <c r="B146" s="17">
        <v>111072</v>
      </c>
      <c r="C146" s="18">
        <v>0.17</v>
      </c>
      <c r="G146" s="42">
        <v>1107</v>
      </c>
      <c r="H146" s="53">
        <v>111072</v>
      </c>
      <c r="I146" s="47">
        <v>0.17</v>
      </c>
      <c r="S146" s="18"/>
    </row>
    <row r="147" spans="1:19">
      <c r="A147" s="42">
        <v>1108</v>
      </c>
      <c r="B147" s="17">
        <v>278411</v>
      </c>
      <c r="C147" s="18">
        <v>0.04</v>
      </c>
      <c r="G147" s="42">
        <v>1108</v>
      </c>
      <c r="H147" s="53">
        <v>278411</v>
      </c>
      <c r="I147" s="47">
        <v>0.04</v>
      </c>
      <c r="S147" s="18"/>
    </row>
    <row r="148" spans="1:19">
      <c r="A148" s="42">
        <v>1109</v>
      </c>
      <c r="B148" s="17">
        <v>35493</v>
      </c>
      <c r="C148" s="18">
        <v>0.03</v>
      </c>
      <c r="G148" s="42">
        <v>1109</v>
      </c>
      <c r="H148" s="53">
        <v>35493</v>
      </c>
      <c r="I148" s="47">
        <v>0.03</v>
      </c>
      <c r="S148" s="18"/>
    </row>
    <row r="149" spans="1:19">
      <c r="A149" s="42">
        <v>1110</v>
      </c>
      <c r="B149" s="17">
        <v>65597</v>
      </c>
      <c r="C149" s="18">
        <v>0.05</v>
      </c>
      <c r="G149" s="42">
        <v>1110</v>
      </c>
      <c r="H149" s="53">
        <v>65597</v>
      </c>
      <c r="I149" s="47">
        <v>0.05</v>
      </c>
      <c r="S149" s="18"/>
    </row>
    <row r="150" spans="1:19">
      <c r="A150" s="42">
        <v>1111</v>
      </c>
      <c r="B150" s="17">
        <v>6350</v>
      </c>
      <c r="C150" s="18">
        <v>0.01</v>
      </c>
      <c r="G150" s="42">
        <v>1111</v>
      </c>
      <c r="H150" s="53">
        <v>6350</v>
      </c>
      <c r="I150" s="47">
        <v>0.01</v>
      </c>
      <c r="S150" s="18"/>
    </row>
    <row r="151" spans="1:19">
      <c r="A151" s="42">
        <v>1112</v>
      </c>
      <c r="B151" s="17">
        <v>166864</v>
      </c>
      <c r="C151" s="18">
        <v>0.03</v>
      </c>
      <c r="G151" s="42">
        <v>1112</v>
      </c>
      <c r="H151" s="53">
        <v>166864</v>
      </c>
      <c r="I151" s="47">
        <v>0.03</v>
      </c>
      <c r="S151" s="18"/>
    </row>
    <row r="152" spans="1:19">
      <c r="A152" s="42">
        <v>1113</v>
      </c>
      <c r="B152" s="17">
        <v>173475</v>
      </c>
      <c r="C152" s="18">
        <v>0.08</v>
      </c>
      <c r="G152" s="42">
        <v>1113</v>
      </c>
      <c r="H152" s="53">
        <v>173475</v>
      </c>
      <c r="I152" s="47">
        <v>0.08</v>
      </c>
      <c r="S152" s="18"/>
    </row>
    <row r="153" spans="1:19">
      <c r="A153" s="42">
        <v>1114</v>
      </c>
      <c r="B153" s="17">
        <v>74544</v>
      </c>
      <c r="C153" s="18">
        <v>0.15</v>
      </c>
      <c r="G153" s="42">
        <v>1114</v>
      </c>
      <c r="H153" s="53">
        <v>74544</v>
      </c>
      <c r="I153" s="47">
        <v>0.15</v>
      </c>
      <c r="S153" s="18"/>
    </row>
    <row r="154" spans="1:19">
      <c r="A154" s="42">
        <v>1115</v>
      </c>
      <c r="B154" s="17">
        <v>67650</v>
      </c>
      <c r="C154" s="18">
        <v>0.13</v>
      </c>
      <c r="G154" s="42">
        <v>1115</v>
      </c>
      <c r="H154" s="53">
        <v>67650</v>
      </c>
      <c r="I154" s="47">
        <v>0.13</v>
      </c>
      <c r="S154" s="18"/>
    </row>
    <row r="155" spans="1:19">
      <c r="A155" s="42">
        <v>1116</v>
      </c>
      <c r="B155" s="17">
        <v>177428</v>
      </c>
      <c r="C155" s="18">
        <v>0.04</v>
      </c>
      <c r="G155" s="42">
        <v>1116</v>
      </c>
      <c r="H155" s="53">
        <v>177428</v>
      </c>
      <c r="I155" s="47">
        <v>0.04</v>
      </c>
      <c r="S155" s="18"/>
    </row>
    <row r="156" spans="1:19">
      <c r="A156" s="42">
        <v>1117</v>
      </c>
      <c r="B156" s="17">
        <v>95378</v>
      </c>
      <c r="C156" s="18">
        <v>0.08</v>
      </c>
      <c r="G156" s="42">
        <v>1117</v>
      </c>
      <c r="H156" s="53">
        <v>95378</v>
      </c>
      <c r="I156" s="47">
        <v>0.08</v>
      </c>
      <c r="S156" s="18"/>
    </row>
    <row r="157" spans="1:19">
      <c r="A157" s="42">
        <v>1118</v>
      </c>
      <c r="B157" s="17">
        <v>118036</v>
      </c>
      <c r="C157" s="18">
        <v>0.1</v>
      </c>
      <c r="G157" s="42">
        <v>1118</v>
      </c>
      <c r="H157" s="53">
        <v>118036</v>
      </c>
      <c r="I157" s="47">
        <v>0.1</v>
      </c>
      <c r="S157" s="18"/>
    </row>
    <row r="158" spans="1:19">
      <c r="A158" s="42">
        <v>1119</v>
      </c>
      <c r="B158" s="17">
        <v>9756</v>
      </c>
      <c r="C158" s="18">
        <v>0.11</v>
      </c>
      <c r="G158" s="42">
        <v>1119</v>
      </c>
      <c r="H158" s="53">
        <v>9756</v>
      </c>
      <c r="I158" s="47">
        <v>0.11</v>
      </c>
      <c r="S158" s="18"/>
    </row>
    <row r="159" spans="1:19">
      <c r="A159" s="42">
        <v>1120</v>
      </c>
      <c r="B159" s="17">
        <v>369970</v>
      </c>
      <c r="C159" s="18">
        <v>0.05</v>
      </c>
      <c r="G159" s="42">
        <v>1120</v>
      </c>
      <c r="H159" s="53">
        <v>369970</v>
      </c>
      <c r="I159" s="47">
        <v>0.05</v>
      </c>
      <c r="S159" s="18"/>
    </row>
    <row r="160" spans="1:19">
      <c r="A160" s="42">
        <v>1121</v>
      </c>
      <c r="B160" s="17">
        <v>306048</v>
      </c>
      <c r="C160" s="18">
        <v>0.15</v>
      </c>
      <c r="G160" s="42">
        <v>1121</v>
      </c>
      <c r="H160" s="53">
        <v>306048</v>
      </c>
      <c r="I160" s="47">
        <v>0.15</v>
      </c>
      <c r="S160" s="18"/>
    </row>
    <row r="161" spans="1:19">
      <c r="A161" s="42">
        <v>1122</v>
      </c>
      <c r="B161" s="17">
        <v>26602</v>
      </c>
      <c r="C161" s="18">
        <v>0.06</v>
      </c>
      <c r="G161" s="42">
        <v>1122</v>
      </c>
      <c r="H161" s="53">
        <v>26602</v>
      </c>
      <c r="I161" s="47">
        <v>0.06</v>
      </c>
      <c r="S161" s="18"/>
    </row>
    <row r="162" spans="1:19">
      <c r="A162" s="42">
        <v>1123</v>
      </c>
      <c r="B162" s="17">
        <v>133048</v>
      </c>
      <c r="C162" s="18">
        <v>0.01</v>
      </c>
      <c r="G162" s="42">
        <v>1123</v>
      </c>
      <c r="H162" s="53">
        <v>133048</v>
      </c>
      <c r="I162" s="47">
        <v>0.01</v>
      </c>
      <c r="S162" s="18"/>
    </row>
    <row r="163" spans="1:19">
      <c r="A163" s="42">
        <v>1124</v>
      </c>
      <c r="B163" s="17">
        <v>166320</v>
      </c>
      <c r="C163" s="18">
        <v>0.14000000000000001</v>
      </c>
      <c r="G163" s="42">
        <v>1124</v>
      </c>
      <c r="H163" s="53">
        <v>166320</v>
      </c>
      <c r="I163" s="47">
        <v>0.14000000000000001</v>
      </c>
      <c r="S163" s="18"/>
    </row>
    <row r="164" spans="1:19">
      <c r="A164" s="42">
        <v>1125</v>
      </c>
      <c r="B164" s="17">
        <v>95508</v>
      </c>
      <c r="C164" s="18">
        <v>0.1</v>
      </c>
      <c r="G164" s="42">
        <v>1125</v>
      </c>
      <c r="H164" s="53">
        <v>95508</v>
      </c>
      <c r="I164" s="47">
        <v>0.1</v>
      </c>
      <c r="S164" s="18"/>
    </row>
    <row r="165" spans="1:19">
      <c r="A165" s="42">
        <v>1126</v>
      </c>
      <c r="B165" s="17">
        <v>278190</v>
      </c>
      <c r="C165" s="18">
        <v>0.18</v>
      </c>
      <c r="G165" s="42">
        <v>1126</v>
      </c>
      <c r="H165" s="53">
        <v>278190</v>
      </c>
      <c r="I165" s="47">
        <v>0.18</v>
      </c>
      <c r="S165" s="18"/>
    </row>
    <row r="166" spans="1:19">
      <c r="A166" s="42">
        <v>1127</v>
      </c>
      <c r="B166" s="17">
        <v>226866</v>
      </c>
      <c r="C166" s="18">
        <v>0.09</v>
      </c>
      <c r="G166" s="42">
        <v>1127</v>
      </c>
      <c r="H166" s="53">
        <v>226866</v>
      </c>
      <c r="I166" s="47">
        <v>0.09</v>
      </c>
      <c r="S166" s="18"/>
    </row>
    <row r="167" spans="1:19">
      <c r="A167" s="42">
        <v>1128</v>
      </c>
      <c r="B167" s="17">
        <v>43704</v>
      </c>
      <c r="C167" s="18">
        <v>0.03</v>
      </c>
      <c r="G167" s="42">
        <v>1128</v>
      </c>
      <c r="H167" s="53">
        <v>43704</v>
      </c>
      <c r="I167" s="47">
        <v>0.03</v>
      </c>
      <c r="S167" s="18"/>
    </row>
    <row r="168" spans="1:19">
      <c r="A168" s="42">
        <v>1129</v>
      </c>
      <c r="B168" s="17">
        <v>246526</v>
      </c>
      <c r="C168" s="18">
        <v>0.05</v>
      </c>
      <c r="G168" s="42">
        <v>1129</v>
      </c>
      <c r="H168" s="53">
        <v>246526</v>
      </c>
      <c r="I168" s="47">
        <v>0.05</v>
      </c>
      <c r="S168" s="18"/>
    </row>
    <row r="169" spans="1:19">
      <c r="A169" s="42">
        <v>1130</v>
      </c>
      <c r="B169" s="17">
        <v>132405</v>
      </c>
      <c r="C169" s="18">
        <v>0.08</v>
      </c>
      <c r="G169" s="42">
        <v>1130</v>
      </c>
      <c r="H169" s="53">
        <v>132405</v>
      </c>
      <c r="I169" s="47">
        <v>0.08</v>
      </c>
      <c r="S169" s="18"/>
    </row>
    <row r="170" spans="1:19">
      <c r="A170" s="42">
        <v>1131</v>
      </c>
      <c r="B170" s="17">
        <v>17900</v>
      </c>
      <c r="C170" s="18">
        <v>0.02</v>
      </c>
      <c r="G170" s="42">
        <v>1131</v>
      </c>
      <c r="H170" s="53">
        <v>17900</v>
      </c>
      <c r="I170" s="47">
        <v>0.02</v>
      </c>
      <c r="S170" s="18"/>
    </row>
    <row r="171" spans="1:19">
      <c r="A171" s="42">
        <v>1132</v>
      </c>
      <c r="B171" s="17">
        <v>129784</v>
      </c>
      <c r="C171" s="18">
        <v>0.2</v>
      </c>
      <c r="G171" s="42">
        <v>1132</v>
      </c>
      <c r="H171" s="53">
        <v>129784</v>
      </c>
      <c r="I171" s="47">
        <v>0.2</v>
      </c>
      <c r="S171" s="18"/>
    </row>
    <row r="172" spans="1:19">
      <c r="A172" s="42">
        <v>1133</v>
      </c>
      <c r="B172" s="17">
        <v>123212</v>
      </c>
      <c r="C172" s="18">
        <v>0.13</v>
      </c>
      <c r="G172" s="42">
        <v>1133</v>
      </c>
      <c r="H172" s="53">
        <v>123212</v>
      </c>
      <c r="I172" s="47">
        <v>0.13</v>
      </c>
      <c r="S172" s="18"/>
    </row>
    <row r="173" spans="1:19">
      <c r="A173" s="42">
        <v>1134</v>
      </c>
      <c r="B173" s="17">
        <v>56076</v>
      </c>
      <c r="C173" s="18">
        <v>0.04</v>
      </c>
      <c r="G173" s="42">
        <v>1134</v>
      </c>
      <c r="H173" s="53">
        <v>56076</v>
      </c>
      <c r="I173" s="47">
        <v>0.04</v>
      </c>
      <c r="S173" s="18"/>
    </row>
    <row r="174" spans="1:19">
      <c r="A174" s="42">
        <v>1135</v>
      </c>
      <c r="B174" s="17">
        <v>189882</v>
      </c>
      <c r="C174" s="18">
        <v>0.16</v>
      </c>
      <c r="G174" s="42">
        <v>1135</v>
      </c>
      <c r="H174" s="53">
        <v>189882</v>
      </c>
      <c r="I174" s="47">
        <v>0.16</v>
      </c>
      <c r="S174" s="18"/>
    </row>
    <row r="175" spans="1:19">
      <c r="A175" s="42">
        <v>1136</v>
      </c>
      <c r="B175" s="17">
        <v>34167</v>
      </c>
      <c r="C175" s="18">
        <v>0.14000000000000001</v>
      </c>
      <c r="G175" s="42">
        <v>1136</v>
      </c>
      <c r="H175" s="53">
        <v>34167</v>
      </c>
      <c r="I175" s="47">
        <v>0.14000000000000001</v>
      </c>
      <c r="S175" s="18"/>
    </row>
    <row r="176" spans="1:19">
      <c r="A176" s="42">
        <v>1137</v>
      </c>
      <c r="B176" s="17">
        <v>156258</v>
      </c>
      <c r="C176" s="18">
        <v>0.13</v>
      </c>
      <c r="G176" s="42">
        <v>1137</v>
      </c>
      <c r="H176" s="53">
        <v>156258</v>
      </c>
      <c r="I176" s="47">
        <v>0.13</v>
      </c>
      <c r="S176" s="18"/>
    </row>
    <row r="177" spans="1:19">
      <c r="A177" s="42">
        <v>1138</v>
      </c>
      <c r="B177" s="17">
        <v>149740</v>
      </c>
      <c r="C177" s="18">
        <v>0.14000000000000001</v>
      </c>
      <c r="G177" s="42">
        <v>1138</v>
      </c>
      <c r="H177" s="53">
        <v>149740</v>
      </c>
      <c r="I177" s="47">
        <v>0.14000000000000001</v>
      </c>
      <c r="S177" s="18"/>
    </row>
    <row r="178" spans="1:19">
      <c r="A178" s="42">
        <v>1139</v>
      </c>
      <c r="B178" s="17">
        <v>144956</v>
      </c>
      <c r="C178" s="18">
        <v>0.16</v>
      </c>
      <c r="G178" s="42">
        <v>1139</v>
      </c>
      <c r="H178" s="53">
        <v>144956</v>
      </c>
      <c r="I178" s="47">
        <v>0.16</v>
      </c>
      <c r="S178" s="18"/>
    </row>
    <row r="179" spans="1:19">
      <c r="A179" s="42">
        <v>1140</v>
      </c>
      <c r="B179" s="17">
        <v>492920</v>
      </c>
      <c r="C179" s="18">
        <v>0.06</v>
      </c>
      <c r="G179" s="42">
        <v>1140</v>
      </c>
      <c r="H179" s="53">
        <v>492920</v>
      </c>
      <c r="I179" s="47">
        <v>0.06</v>
      </c>
      <c r="S179" s="18"/>
    </row>
    <row r="180" spans="1:19">
      <c r="A180" s="42">
        <v>1141</v>
      </c>
      <c r="B180" s="17">
        <v>22773</v>
      </c>
      <c r="C180" s="18">
        <v>0.14000000000000001</v>
      </c>
      <c r="G180" s="42">
        <v>1141</v>
      </c>
      <c r="H180" s="53">
        <v>22773</v>
      </c>
      <c r="I180" s="47">
        <v>0.14000000000000001</v>
      </c>
      <c r="S180" s="18"/>
    </row>
    <row r="181" spans="1:19">
      <c r="A181" s="42">
        <v>1142</v>
      </c>
      <c r="B181" s="17">
        <v>42564</v>
      </c>
      <c r="C181" s="18">
        <v>0.16</v>
      </c>
      <c r="G181" s="42">
        <v>1142</v>
      </c>
      <c r="H181" s="53">
        <v>42564</v>
      </c>
      <c r="I181" s="47">
        <v>0.16</v>
      </c>
      <c r="S181" s="18"/>
    </row>
    <row r="182" spans="1:19">
      <c r="A182" s="42">
        <v>1143</v>
      </c>
      <c r="B182" s="17">
        <v>245490</v>
      </c>
      <c r="C182" s="18">
        <v>0.09</v>
      </c>
      <c r="G182" s="42">
        <v>1143</v>
      </c>
      <c r="H182" s="53">
        <v>245490</v>
      </c>
      <c r="I182" s="47">
        <v>0.09</v>
      </c>
      <c r="S182" s="18"/>
    </row>
    <row r="183" spans="1:19">
      <c r="A183" s="42">
        <v>1144</v>
      </c>
      <c r="B183" s="17">
        <v>62160</v>
      </c>
      <c r="C183" s="18">
        <v>0.15</v>
      </c>
      <c r="G183" s="42">
        <v>1144</v>
      </c>
      <c r="H183" s="53">
        <v>62160</v>
      </c>
      <c r="I183" s="47">
        <v>0.15</v>
      </c>
      <c r="S183" s="18"/>
    </row>
    <row r="184" spans="1:19">
      <c r="A184" s="42">
        <v>1145</v>
      </c>
      <c r="B184" s="17">
        <v>192800</v>
      </c>
      <c r="C184" s="18">
        <v>0.2</v>
      </c>
      <c r="G184" s="42">
        <v>1145</v>
      </c>
      <c r="H184" s="53">
        <v>192800</v>
      </c>
      <c r="I184" s="47">
        <v>0.2</v>
      </c>
      <c r="S184" s="18"/>
    </row>
    <row r="185" spans="1:19">
      <c r="A185" s="42">
        <v>1146</v>
      </c>
      <c r="B185" s="17">
        <v>54085</v>
      </c>
      <c r="C185" s="18">
        <v>0.03</v>
      </c>
      <c r="G185" s="42">
        <v>1146</v>
      </c>
      <c r="H185" s="53">
        <v>54085</v>
      </c>
      <c r="I185" s="47">
        <v>0.03</v>
      </c>
      <c r="S185" s="18"/>
    </row>
    <row r="186" spans="1:19">
      <c r="A186" s="42">
        <v>1147</v>
      </c>
      <c r="B186" s="17">
        <v>21980</v>
      </c>
      <c r="C186" s="18">
        <v>0.13</v>
      </c>
      <c r="G186" s="42">
        <v>1147</v>
      </c>
      <c r="H186" s="53">
        <v>21980</v>
      </c>
      <c r="I186" s="47">
        <v>0.13</v>
      </c>
      <c r="S186" s="18"/>
    </row>
    <row r="187" spans="1:19">
      <c r="A187" s="42">
        <v>1148</v>
      </c>
      <c r="B187" s="17">
        <v>64272</v>
      </c>
      <c r="C187" s="18">
        <v>0.04</v>
      </c>
      <c r="G187" s="42">
        <v>1148</v>
      </c>
      <c r="H187" s="53">
        <v>64272</v>
      </c>
      <c r="I187" s="47">
        <v>0.04</v>
      </c>
      <c r="S187" s="18"/>
    </row>
    <row r="188" spans="1:19">
      <c r="A188" s="42">
        <v>1149</v>
      </c>
      <c r="B188" s="17">
        <v>112410</v>
      </c>
      <c r="C188" s="18">
        <v>0.19</v>
      </c>
      <c r="G188" s="42">
        <v>1149</v>
      </c>
      <c r="H188" s="53">
        <v>112410</v>
      </c>
      <c r="I188" s="47">
        <v>0.19</v>
      </c>
      <c r="S188" s="18"/>
    </row>
    <row r="189" spans="1:19">
      <c r="A189" s="42">
        <v>1150</v>
      </c>
      <c r="B189" s="17">
        <v>13796</v>
      </c>
      <c r="C189" s="18">
        <v>0.04</v>
      </c>
      <c r="G189" s="42">
        <v>1150</v>
      </c>
      <c r="H189" s="53">
        <v>13796</v>
      </c>
      <c r="I189" s="47">
        <v>0.04</v>
      </c>
      <c r="S189" s="18"/>
    </row>
    <row r="190" spans="1:19">
      <c r="A190" s="42">
        <v>1151</v>
      </c>
      <c r="B190" s="17">
        <v>24892</v>
      </c>
      <c r="C190" s="18">
        <v>0.11</v>
      </c>
      <c r="G190" s="42">
        <v>1151</v>
      </c>
      <c r="H190" s="53">
        <v>24892</v>
      </c>
      <c r="I190" s="47">
        <v>0.11</v>
      </c>
      <c r="S190" s="18"/>
    </row>
    <row r="191" spans="1:19">
      <c r="A191" s="42">
        <v>1152</v>
      </c>
      <c r="B191" s="17">
        <v>121121</v>
      </c>
      <c r="C191" s="18">
        <v>0.1</v>
      </c>
      <c r="G191" s="42">
        <v>1152</v>
      </c>
      <c r="H191" s="53">
        <v>121121</v>
      </c>
      <c r="I191" s="47">
        <v>0.1</v>
      </c>
      <c r="S191" s="18"/>
    </row>
    <row r="192" spans="1:19">
      <c r="A192" s="42">
        <v>1153</v>
      </c>
      <c r="B192" s="17">
        <v>15192</v>
      </c>
      <c r="C192" s="18">
        <v>0.1</v>
      </c>
      <c r="G192" s="42">
        <v>1153</v>
      </c>
      <c r="H192" s="53">
        <v>15192</v>
      </c>
      <c r="I192" s="47">
        <v>0.1</v>
      </c>
      <c r="S192" s="18"/>
    </row>
    <row r="193" spans="1:19">
      <c r="A193" s="42">
        <v>1154</v>
      </c>
      <c r="B193" s="17">
        <v>198414</v>
      </c>
      <c r="C193" s="18">
        <v>0.02</v>
      </c>
      <c r="G193" s="42">
        <v>1154</v>
      </c>
      <c r="H193" s="53">
        <v>198414</v>
      </c>
      <c r="I193" s="47">
        <v>0.02</v>
      </c>
      <c r="S193" s="18"/>
    </row>
    <row r="194" spans="1:19">
      <c r="A194" s="42">
        <v>1155</v>
      </c>
      <c r="B194" s="17">
        <v>138660</v>
      </c>
      <c r="C194" s="18">
        <v>0.18</v>
      </c>
      <c r="G194" s="42">
        <v>1155</v>
      </c>
      <c r="H194" s="53">
        <v>138660</v>
      </c>
      <c r="I194" s="47">
        <v>0.18</v>
      </c>
      <c r="S194" s="18"/>
    </row>
    <row r="195" spans="1:19">
      <c r="A195" s="42">
        <v>1156</v>
      </c>
      <c r="B195" s="17">
        <v>128148</v>
      </c>
      <c r="C195" s="18">
        <v>0.04</v>
      </c>
      <c r="G195" s="42">
        <v>1156</v>
      </c>
      <c r="H195" s="53">
        <v>128148</v>
      </c>
      <c r="I195" s="47">
        <v>0.04</v>
      </c>
      <c r="S195" s="18"/>
    </row>
    <row r="196" spans="1:19">
      <c r="A196" s="42">
        <v>1157</v>
      </c>
      <c r="B196" s="17">
        <v>55173</v>
      </c>
      <c r="C196" s="18">
        <v>0.2</v>
      </c>
      <c r="G196" s="42">
        <v>1157</v>
      </c>
      <c r="H196" s="53">
        <v>55173</v>
      </c>
      <c r="I196" s="47">
        <v>0.2</v>
      </c>
      <c r="S196" s="18"/>
    </row>
    <row r="197" spans="1:19">
      <c r="A197" s="42">
        <v>1158</v>
      </c>
      <c r="B197" s="17">
        <v>74832</v>
      </c>
      <c r="C197" s="18">
        <v>0.12</v>
      </c>
      <c r="G197" s="42">
        <v>1158</v>
      </c>
      <c r="H197" s="53">
        <v>74832</v>
      </c>
      <c r="I197" s="47">
        <v>0.12</v>
      </c>
      <c r="S197" s="18"/>
    </row>
    <row r="198" spans="1:19">
      <c r="A198" s="42">
        <v>1159</v>
      </c>
      <c r="B198" s="17">
        <v>270347</v>
      </c>
      <c r="C198" s="18">
        <v>0.19</v>
      </c>
      <c r="G198" s="42">
        <v>1159</v>
      </c>
      <c r="H198" s="53">
        <v>270347</v>
      </c>
      <c r="I198" s="47">
        <v>0.19</v>
      </c>
      <c r="S198" s="18"/>
    </row>
    <row r="199" spans="1:19">
      <c r="A199" s="42">
        <v>1160</v>
      </c>
      <c r="B199" s="17">
        <v>102431</v>
      </c>
      <c r="C199" s="18">
        <v>0.15</v>
      </c>
      <c r="G199" s="42">
        <v>1160</v>
      </c>
      <c r="H199" s="53">
        <v>102431</v>
      </c>
      <c r="I199" s="47">
        <v>0.15</v>
      </c>
      <c r="S199" s="18"/>
    </row>
    <row r="200" spans="1:19">
      <c r="A200" s="42">
        <v>1161</v>
      </c>
      <c r="B200" s="17">
        <v>25918</v>
      </c>
      <c r="C200" s="18">
        <v>0.01</v>
      </c>
      <c r="G200" s="42">
        <v>1161</v>
      </c>
      <c r="H200" s="53">
        <v>25918</v>
      </c>
      <c r="I200" s="47">
        <v>0.01</v>
      </c>
      <c r="S200" s="18"/>
    </row>
    <row r="201" spans="1:19">
      <c r="A201" s="42">
        <v>1162</v>
      </c>
      <c r="B201" s="17">
        <v>255024</v>
      </c>
      <c r="C201" s="18">
        <v>0.18</v>
      </c>
      <c r="G201" s="42">
        <v>1162</v>
      </c>
      <c r="H201" s="53">
        <v>255024</v>
      </c>
      <c r="I201" s="47">
        <v>0.18</v>
      </c>
      <c r="S201" s="18"/>
    </row>
    <row r="202" spans="1:19">
      <c r="A202" s="42">
        <v>1163</v>
      </c>
      <c r="B202" s="17">
        <v>486320</v>
      </c>
      <c r="C202" s="18">
        <v>0.09</v>
      </c>
      <c r="G202" s="42">
        <v>1163</v>
      </c>
      <c r="H202" s="53">
        <v>486320</v>
      </c>
      <c r="I202" s="47">
        <v>0.09</v>
      </c>
      <c r="S202" s="18"/>
    </row>
    <row r="203" spans="1:19">
      <c r="A203" s="42">
        <v>1164</v>
      </c>
      <c r="B203" s="17">
        <v>81360</v>
      </c>
      <c r="C203" s="18">
        <v>0.04</v>
      </c>
      <c r="G203" s="42">
        <v>1164</v>
      </c>
      <c r="H203" s="53">
        <v>81360</v>
      </c>
      <c r="I203" s="47">
        <v>0.04</v>
      </c>
      <c r="S203" s="18"/>
    </row>
    <row r="204" spans="1:19">
      <c r="A204" s="42">
        <v>1165</v>
      </c>
      <c r="B204" s="17">
        <v>43890</v>
      </c>
      <c r="C204" s="18">
        <v>0.2</v>
      </c>
      <c r="G204" s="42">
        <v>1165</v>
      </c>
      <c r="H204" s="53">
        <v>43890</v>
      </c>
      <c r="I204" s="47">
        <v>0.2</v>
      </c>
      <c r="S204" s="18"/>
    </row>
    <row r="205" spans="1:19">
      <c r="A205" s="42">
        <v>1166</v>
      </c>
      <c r="B205" s="17">
        <v>8742</v>
      </c>
      <c r="C205" s="18">
        <v>0.14000000000000001</v>
      </c>
      <c r="G205" s="42">
        <v>1166</v>
      </c>
      <c r="H205" s="53">
        <v>8742</v>
      </c>
      <c r="I205" s="47">
        <v>0.14000000000000001</v>
      </c>
      <c r="S205" s="18"/>
    </row>
    <row r="206" spans="1:19">
      <c r="A206" s="42">
        <v>1167</v>
      </c>
      <c r="B206" s="17">
        <v>9000</v>
      </c>
      <c r="C206" s="18">
        <v>0.03</v>
      </c>
      <c r="G206" s="42">
        <v>1167</v>
      </c>
      <c r="H206" s="53">
        <v>9000</v>
      </c>
      <c r="I206" s="47">
        <v>0.03</v>
      </c>
      <c r="S206" s="18"/>
    </row>
    <row r="207" spans="1:19">
      <c r="A207" s="42">
        <v>1168</v>
      </c>
      <c r="B207" s="17">
        <v>206376</v>
      </c>
      <c r="C207" s="18">
        <v>0.11</v>
      </c>
      <c r="G207" s="42">
        <v>1168</v>
      </c>
      <c r="H207" s="53">
        <v>206376</v>
      </c>
      <c r="I207" s="47">
        <v>0.11</v>
      </c>
      <c r="S207" s="18"/>
    </row>
    <row r="208" spans="1:19">
      <c r="A208" s="42">
        <v>1169</v>
      </c>
      <c r="B208" s="17">
        <v>46881</v>
      </c>
      <c r="C208" s="18">
        <v>0.18</v>
      </c>
      <c r="G208" s="42">
        <v>1169</v>
      </c>
      <c r="H208" s="53">
        <v>46881</v>
      </c>
      <c r="I208" s="47">
        <v>0.18</v>
      </c>
      <c r="S208" s="18"/>
    </row>
    <row r="209" spans="1:19">
      <c r="A209" s="42">
        <v>1170</v>
      </c>
      <c r="B209" s="17">
        <v>176391</v>
      </c>
      <c r="C209" s="18">
        <v>0.18</v>
      </c>
      <c r="G209" s="42">
        <v>1170</v>
      </c>
      <c r="H209" s="53">
        <v>176391</v>
      </c>
      <c r="I209" s="47">
        <v>0.18</v>
      </c>
      <c r="S209" s="18"/>
    </row>
    <row r="210" spans="1:19">
      <c r="A210" s="42">
        <v>1171</v>
      </c>
      <c r="B210" s="17">
        <v>77105</v>
      </c>
      <c r="C210" s="18">
        <v>0.12</v>
      </c>
      <c r="G210" s="42">
        <v>1171</v>
      </c>
      <c r="H210" s="53">
        <v>77105</v>
      </c>
      <c r="I210" s="47">
        <v>0.12</v>
      </c>
      <c r="S210" s="18"/>
    </row>
    <row r="211" spans="1:19">
      <c r="A211" s="42">
        <v>1172</v>
      </c>
      <c r="B211" s="17">
        <v>135054</v>
      </c>
      <c r="C211" s="18">
        <v>0.08</v>
      </c>
      <c r="G211" s="42">
        <v>1172</v>
      </c>
      <c r="H211" s="53">
        <v>135054</v>
      </c>
      <c r="I211" s="47">
        <v>0.08</v>
      </c>
      <c r="S211" s="18"/>
    </row>
    <row r="212" spans="1:19">
      <c r="A212" s="42">
        <v>1173</v>
      </c>
      <c r="B212" s="17">
        <v>309672</v>
      </c>
      <c r="C212" s="18">
        <v>0.04</v>
      </c>
      <c r="G212" s="42">
        <v>1173</v>
      </c>
      <c r="H212" s="53">
        <v>309672</v>
      </c>
      <c r="I212" s="47">
        <v>0.04</v>
      </c>
      <c r="S212" s="18"/>
    </row>
    <row r="213" spans="1:19">
      <c r="A213" s="42">
        <v>1174</v>
      </c>
      <c r="B213" s="17">
        <v>343660</v>
      </c>
      <c r="C213" s="18">
        <v>0.16</v>
      </c>
      <c r="G213" s="42">
        <v>1174</v>
      </c>
      <c r="H213" s="53">
        <v>343660</v>
      </c>
      <c r="I213" s="47">
        <v>0.16</v>
      </c>
      <c r="S213" s="18"/>
    </row>
    <row r="214" spans="1:19">
      <c r="A214" s="42">
        <v>1175</v>
      </c>
      <c r="B214" s="17">
        <v>51018</v>
      </c>
      <c r="C214" s="18">
        <v>0.02</v>
      </c>
      <c r="G214" s="42">
        <v>1175</v>
      </c>
      <c r="H214" s="53">
        <v>51018</v>
      </c>
      <c r="I214" s="47">
        <v>0.02</v>
      </c>
      <c r="S214" s="18"/>
    </row>
    <row r="215" spans="1:19">
      <c r="A215" s="42">
        <v>1176</v>
      </c>
      <c r="B215" s="17">
        <v>177520</v>
      </c>
      <c r="C215" s="18">
        <v>0.02</v>
      </c>
      <c r="G215" s="42">
        <v>1176</v>
      </c>
      <c r="H215" s="53">
        <v>177520</v>
      </c>
      <c r="I215" s="47">
        <v>0.02</v>
      </c>
      <c r="S215" s="18"/>
    </row>
    <row r="216" spans="1:19">
      <c r="A216" s="42">
        <v>1177</v>
      </c>
      <c r="B216" s="17">
        <v>93738</v>
      </c>
      <c r="C216" s="18">
        <v>7.0000000000000007E-2</v>
      </c>
      <c r="G216" s="42">
        <v>1177</v>
      </c>
      <c r="H216" s="53">
        <v>93738</v>
      </c>
      <c r="I216" s="47">
        <v>7.0000000000000007E-2</v>
      </c>
      <c r="S216" s="18"/>
    </row>
    <row r="217" spans="1:19">
      <c r="A217" s="42">
        <v>1178</v>
      </c>
      <c r="B217" s="17">
        <v>32685</v>
      </c>
      <c r="C217" s="18">
        <v>0.09</v>
      </c>
      <c r="G217" s="42">
        <v>1178</v>
      </c>
      <c r="H217" s="53">
        <v>32685</v>
      </c>
      <c r="I217" s="47">
        <v>0.09</v>
      </c>
      <c r="S217" s="18"/>
    </row>
    <row r="218" spans="1:19">
      <c r="A218" s="42">
        <v>1179</v>
      </c>
      <c r="B218" s="17">
        <v>38744</v>
      </c>
      <c r="C218" s="18">
        <v>0.12</v>
      </c>
      <c r="G218" s="42">
        <v>1179</v>
      </c>
      <c r="H218" s="53">
        <v>38744</v>
      </c>
      <c r="I218" s="47">
        <v>0.12</v>
      </c>
      <c r="S218" s="18"/>
    </row>
    <row r="219" spans="1:19">
      <c r="A219" s="42">
        <v>1180</v>
      </c>
      <c r="B219" s="17">
        <v>305883</v>
      </c>
      <c r="C219" s="18">
        <v>0.09</v>
      </c>
      <c r="G219" s="42">
        <v>1180</v>
      </c>
      <c r="H219" s="53">
        <v>305883</v>
      </c>
      <c r="I219" s="47">
        <v>0.09</v>
      </c>
      <c r="S219" s="18"/>
    </row>
    <row r="220" spans="1:19">
      <c r="A220" s="42">
        <v>1181</v>
      </c>
      <c r="B220" s="17">
        <v>1413</v>
      </c>
      <c r="C220" s="18">
        <v>0.06</v>
      </c>
      <c r="G220" s="42">
        <v>1181</v>
      </c>
      <c r="H220" s="53">
        <v>1413</v>
      </c>
      <c r="I220" s="47">
        <v>0.06</v>
      </c>
      <c r="S220" s="18"/>
    </row>
    <row r="221" spans="1:19">
      <c r="A221" s="42">
        <v>1182</v>
      </c>
      <c r="B221" s="17">
        <v>146958</v>
      </c>
      <c r="C221" s="18">
        <v>0.17</v>
      </c>
      <c r="G221" s="42">
        <v>1182</v>
      </c>
      <c r="H221" s="53">
        <v>146958</v>
      </c>
      <c r="I221" s="47">
        <v>0.17</v>
      </c>
      <c r="S221" s="18"/>
    </row>
    <row r="222" spans="1:19">
      <c r="A222" s="42">
        <v>1183</v>
      </c>
      <c r="B222" s="17">
        <v>184989</v>
      </c>
      <c r="C222" s="18">
        <v>0.11</v>
      </c>
      <c r="G222" s="42">
        <v>1183</v>
      </c>
      <c r="H222" s="53">
        <v>184989</v>
      </c>
      <c r="I222" s="47">
        <v>0.11</v>
      </c>
      <c r="S222" s="18"/>
    </row>
    <row r="223" spans="1:19">
      <c r="A223" s="42">
        <v>1184</v>
      </c>
      <c r="B223" s="17">
        <v>138525</v>
      </c>
      <c r="C223" s="18">
        <v>0</v>
      </c>
      <c r="G223" s="42">
        <v>1184</v>
      </c>
      <c r="H223" s="53">
        <v>138525</v>
      </c>
      <c r="I223" s="47">
        <v>0</v>
      </c>
      <c r="S223" s="18"/>
    </row>
    <row r="224" spans="1:19">
      <c r="A224" s="42">
        <v>1185</v>
      </c>
      <c r="B224" s="17">
        <v>1050</v>
      </c>
      <c r="C224" s="18">
        <v>0.08</v>
      </c>
      <c r="G224" s="42">
        <v>1185</v>
      </c>
      <c r="H224" s="53">
        <v>1050</v>
      </c>
      <c r="I224" s="47">
        <v>0.08</v>
      </c>
      <c r="S224" s="18"/>
    </row>
    <row r="225" spans="1:19">
      <c r="A225" s="42">
        <v>1186</v>
      </c>
      <c r="B225" s="17">
        <v>250038</v>
      </c>
      <c r="C225" s="18">
        <v>0.01</v>
      </c>
      <c r="G225" s="42">
        <v>1186</v>
      </c>
      <c r="H225" s="53">
        <v>250038</v>
      </c>
      <c r="I225" s="47">
        <v>0.01</v>
      </c>
      <c r="S225" s="18"/>
    </row>
    <row r="226" spans="1:19">
      <c r="A226" s="42">
        <v>1187</v>
      </c>
      <c r="B226" s="17">
        <v>333747</v>
      </c>
      <c r="C226" s="18">
        <v>0.04</v>
      </c>
      <c r="G226" s="42">
        <v>1187</v>
      </c>
      <c r="H226" s="53">
        <v>333747</v>
      </c>
      <c r="I226" s="47">
        <v>0.04</v>
      </c>
      <c r="S226" s="18"/>
    </row>
    <row r="227" spans="1:19">
      <c r="A227" s="42">
        <v>1188</v>
      </c>
      <c r="B227" s="17">
        <v>125616</v>
      </c>
      <c r="C227" s="18">
        <v>7.0000000000000007E-2</v>
      </c>
      <c r="G227" s="42">
        <v>1188</v>
      </c>
      <c r="H227" s="53">
        <v>125616</v>
      </c>
      <c r="I227" s="47">
        <v>7.0000000000000007E-2</v>
      </c>
      <c r="S227" s="18"/>
    </row>
    <row r="228" spans="1:19">
      <c r="A228" s="42">
        <v>1189</v>
      </c>
      <c r="B228" s="17">
        <v>676</v>
      </c>
      <c r="C228" s="18">
        <v>0</v>
      </c>
      <c r="G228" s="42">
        <v>1189</v>
      </c>
      <c r="H228" s="53">
        <v>676</v>
      </c>
      <c r="I228" s="47">
        <v>0</v>
      </c>
      <c r="S228" s="18"/>
    </row>
    <row r="229" spans="1:19">
      <c r="A229" s="42">
        <v>1190</v>
      </c>
      <c r="B229" s="17">
        <v>94218</v>
      </c>
      <c r="C229" s="18">
        <v>0.15</v>
      </c>
      <c r="G229" s="42">
        <v>1190</v>
      </c>
      <c r="H229" s="53">
        <v>94218</v>
      </c>
      <c r="I229" s="47">
        <v>0.15</v>
      </c>
      <c r="S229" s="18"/>
    </row>
    <row r="230" spans="1:19">
      <c r="A230" s="42">
        <v>1191</v>
      </c>
      <c r="B230" s="17">
        <v>119931</v>
      </c>
      <c r="C230" s="18">
        <v>0.06</v>
      </c>
      <c r="G230" s="42">
        <v>1191</v>
      </c>
      <c r="H230" s="53">
        <v>119931</v>
      </c>
      <c r="I230" s="47">
        <v>0.06</v>
      </c>
      <c r="S230" s="18"/>
    </row>
    <row r="231" spans="1:19">
      <c r="A231" s="42">
        <v>1192</v>
      </c>
      <c r="B231" s="17">
        <v>85020</v>
      </c>
      <c r="C231" s="18">
        <v>0.05</v>
      </c>
      <c r="G231" s="42">
        <v>1192</v>
      </c>
      <c r="H231" s="53">
        <v>85020</v>
      </c>
      <c r="I231" s="47">
        <v>0.05</v>
      </c>
      <c r="S231" s="18"/>
    </row>
    <row r="232" spans="1:19">
      <c r="A232" s="42">
        <v>1193</v>
      </c>
      <c r="B232" s="17">
        <v>314968</v>
      </c>
      <c r="C232" s="18">
        <v>0.18</v>
      </c>
      <c r="G232" s="42">
        <v>1193</v>
      </c>
      <c r="H232" s="53">
        <v>314968</v>
      </c>
      <c r="I232" s="47">
        <v>0.18</v>
      </c>
      <c r="S232" s="18"/>
    </row>
    <row r="233" spans="1:19">
      <c r="A233" s="42">
        <v>1194</v>
      </c>
      <c r="B233" s="17">
        <v>29158</v>
      </c>
      <c r="C233" s="18">
        <v>0.11</v>
      </c>
      <c r="G233" s="42">
        <v>1194</v>
      </c>
      <c r="H233" s="53">
        <v>29158</v>
      </c>
      <c r="I233" s="47">
        <v>0.11</v>
      </c>
      <c r="S233" s="18"/>
    </row>
    <row r="234" spans="1:19">
      <c r="A234" s="42">
        <v>1195</v>
      </c>
      <c r="B234" s="17">
        <v>9342</v>
      </c>
      <c r="C234" s="18">
        <v>0.15</v>
      </c>
      <c r="G234" s="42">
        <v>1195</v>
      </c>
      <c r="H234" s="53">
        <v>9342</v>
      </c>
      <c r="I234" s="47">
        <v>0.15</v>
      </c>
      <c r="S234" s="18"/>
    </row>
    <row r="235" spans="1:19">
      <c r="A235" s="42">
        <v>1196</v>
      </c>
      <c r="B235" s="17">
        <v>265110</v>
      </c>
      <c r="C235" s="18">
        <v>0.05</v>
      </c>
      <c r="G235" s="42">
        <v>1196</v>
      </c>
      <c r="H235" s="53">
        <v>265110</v>
      </c>
      <c r="I235" s="47">
        <v>0.05</v>
      </c>
      <c r="S235" s="18"/>
    </row>
    <row r="236" spans="1:19">
      <c r="A236" s="42">
        <v>1197</v>
      </c>
      <c r="B236" s="17">
        <v>356008</v>
      </c>
      <c r="C236" s="18">
        <v>0.19</v>
      </c>
      <c r="G236" s="42">
        <v>1197</v>
      </c>
      <c r="H236" s="53">
        <v>356008</v>
      </c>
      <c r="I236" s="47">
        <v>0.19</v>
      </c>
      <c r="S236" s="18"/>
    </row>
    <row r="237" spans="1:19">
      <c r="A237" s="42">
        <v>1198</v>
      </c>
      <c r="B237" s="17">
        <v>58640</v>
      </c>
      <c r="C237" s="18">
        <v>0.04</v>
      </c>
      <c r="G237" s="42">
        <v>1198</v>
      </c>
      <c r="H237" s="53">
        <v>58640</v>
      </c>
      <c r="I237" s="47">
        <v>0.04</v>
      </c>
      <c r="S237" s="18"/>
    </row>
    <row r="238" spans="1:19">
      <c r="A238" s="42">
        <v>1199</v>
      </c>
      <c r="B238" s="17">
        <v>109620</v>
      </c>
      <c r="C238" s="18">
        <v>0.17</v>
      </c>
      <c r="G238" s="42">
        <v>1199</v>
      </c>
      <c r="H238" s="53">
        <v>109620</v>
      </c>
      <c r="I238" s="47">
        <v>0.17</v>
      </c>
      <c r="S238" s="18"/>
    </row>
    <row r="239" spans="1:19" ht="15" thickBot="1">
      <c r="A239" s="42">
        <v>1200</v>
      </c>
      <c r="B239" s="17">
        <v>307202</v>
      </c>
      <c r="C239" s="18">
        <v>7.0000000000000007E-2</v>
      </c>
      <c r="G239" s="45">
        <v>1200</v>
      </c>
      <c r="H239" s="54">
        <v>307202</v>
      </c>
      <c r="I239" s="50">
        <v>7.0000000000000007E-2</v>
      </c>
      <c r="S239" s="18"/>
    </row>
    <row r="240" spans="1:19" ht="15" thickBot="1">
      <c r="A240" s="25" t="s">
        <v>292</v>
      </c>
      <c r="B240" s="29">
        <v>26538814</v>
      </c>
      <c r="C240" s="20">
        <v>9.7399999999999931E-2</v>
      </c>
      <c r="S240" s="18"/>
    </row>
    <row r="241" spans="1:19" ht="15" thickBot="1">
      <c r="A241" s="29"/>
      <c r="B241" s="19"/>
      <c r="C241" s="19"/>
      <c r="D241" s="19"/>
      <c r="E241" s="19"/>
      <c r="F241" s="19"/>
      <c r="G241" s="19"/>
      <c r="H241" s="19"/>
      <c r="I241" s="19"/>
      <c r="J241" s="19"/>
      <c r="K241" s="19"/>
      <c r="L241" s="19"/>
      <c r="M241" s="19"/>
      <c r="N241" s="19"/>
      <c r="O241" s="19"/>
      <c r="P241" s="19"/>
      <c r="Q241" s="19"/>
      <c r="R241" s="19"/>
      <c r="S241" s="20"/>
    </row>
    <row r="251" spans="1:19" ht="15" thickBot="1"/>
    <row r="252" spans="1:19" ht="15" thickBot="1"/>
    <row r="260" ht="15" thickBot="1"/>
    <row r="261" ht="15" thickBot="1"/>
  </sheetData>
  <mergeCells count="2">
    <mergeCell ref="A12:H12"/>
    <mergeCell ref="A37:S37"/>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04435-17EA-4688-BB65-59127D2020DE}">
  <dimension ref="A3:J65"/>
  <sheetViews>
    <sheetView workbookViewId="0">
      <selection activeCell="A49" sqref="A49:J49"/>
    </sheetView>
  </sheetViews>
  <sheetFormatPr defaultRowHeight="14.4"/>
  <cols>
    <col min="1" max="1" width="12.5546875" bestFit="1" customWidth="1"/>
    <col min="2" max="2" width="25.21875" bestFit="1" customWidth="1"/>
    <col min="3" max="3" width="18.109375" bestFit="1" customWidth="1"/>
    <col min="4" max="4" width="15.44140625" bestFit="1" customWidth="1"/>
  </cols>
  <sheetData>
    <row r="3" spans="1:8">
      <c r="A3" s="10" t="s">
        <v>291</v>
      </c>
      <c r="B3" t="s">
        <v>297</v>
      </c>
      <c r="C3" t="s">
        <v>300</v>
      </c>
      <c r="D3" t="s">
        <v>299</v>
      </c>
    </row>
    <row r="4" spans="1:8">
      <c r="A4" s="11" t="s">
        <v>44</v>
      </c>
      <c r="B4" s="13">
        <v>4064154.6300000004</v>
      </c>
      <c r="C4" s="12">
        <v>0.11071428571428567</v>
      </c>
      <c r="D4">
        <v>28</v>
      </c>
    </row>
    <row r="5" spans="1:8">
      <c r="A5" s="11" t="s">
        <v>26</v>
      </c>
      <c r="B5" s="13">
        <v>3469190.1500000004</v>
      </c>
      <c r="C5" s="12">
        <v>8.8709677419354857E-2</v>
      </c>
      <c r="D5">
        <v>31</v>
      </c>
    </row>
    <row r="6" spans="1:8">
      <c r="A6" s="11" t="s">
        <v>19</v>
      </c>
      <c r="B6" s="13">
        <v>2609995.1399999997</v>
      </c>
      <c r="C6" s="12">
        <v>9.8749999999999991E-2</v>
      </c>
      <c r="D6">
        <v>24</v>
      </c>
    </row>
    <row r="7" spans="1:8">
      <c r="A7" s="11" t="s">
        <v>103</v>
      </c>
      <c r="B7" s="13">
        <v>3462860.8099999996</v>
      </c>
      <c r="C7" s="12">
        <v>9.5217391304347809E-2</v>
      </c>
      <c r="D7">
        <v>23</v>
      </c>
    </row>
    <row r="8" spans="1:8">
      <c r="A8" s="11" t="s">
        <v>39</v>
      </c>
      <c r="B8" s="13">
        <v>2188932.67</v>
      </c>
      <c r="C8" s="12">
        <v>9.0833333333333363E-2</v>
      </c>
      <c r="D8">
        <v>24</v>
      </c>
    </row>
    <row r="9" spans="1:8">
      <c r="A9" s="11" t="s">
        <v>34</v>
      </c>
      <c r="B9" s="13">
        <v>2379949.2000000007</v>
      </c>
      <c r="C9" s="12">
        <v>0.10666666666666667</v>
      </c>
      <c r="D9">
        <v>24</v>
      </c>
    </row>
    <row r="10" spans="1:8">
      <c r="A10" s="11" t="s">
        <v>73</v>
      </c>
      <c r="B10" s="13">
        <v>1680972.7499999998</v>
      </c>
      <c r="C10" s="12">
        <v>7.6999999999999999E-2</v>
      </c>
      <c r="D10">
        <v>20</v>
      </c>
    </row>
    <row r="11" spans="1:8">
      <c r="A11" s="11" t="s">
        <v>63</v>
      </c>
      <c r="B11" s="13">
        <v>4148926.169999999</v>
      </c>
      <c r="C11" s="12">
        <v>0.1073076923076923</v>
      </c>
      <c r="D11">
        <v>26</v>
      </c>
    </row>
    <row r="12" spans="1:8">
      <c r="A12" s="11" t="s">
        <v>292</v>
      </c>
      <c r="B12" s="13">
        <v>24004981.520000003</v>
      </c>
      <c r="C12" s="12">
        <v>9.7399999999999945E-2</v>
      </c>
      <c r="D12">
        <v>200</v>
      </c>
    </row>
    <row r="15" spans="1:8" ht="15" thickBot="1"/>
    <row r="16" spans="1:8" ht="15" thickBot="1">
      <c r="A16" s="55" t="s">
        <v>306</v>
      </c>
      <c r="B16" s="56"/>
      <c r="C16" s="56"/>
      <c r="D16" s="56"/>
      <c r="E16" s="56"/>
      <c r="F16" s="56"/>
      <c r="G16" s="56"/>
      <c r="H16" s="60"/>
    </row>
    <row r="17" spans="1:8">
      <c r="A17" s="17"/>
      <c r="H17" s="18"/>
    </row>
    <row r="18" spans="1:8">
      <c r="A18" s="41" t="s">
        <v>291</v>
      </c>
      <c r="B18" t="s">
        <v>297</v>
      </c>
      <c r="H18" s="18"/>
    </row>
    <row r="19" spans="1:8">
      <c r="A19" s="42" t="s">
        <v>44</v>
      </c>
      <c r="B19" s="13">
        <v>4064154.6300000004</v>
      </c>
      <c r="H19" s="18"/>
    </row>
    <row r="20" spans="1:8">
      <c r="A20" s="42" t="s">
        <v>26</v>
      </c>
      <c r="B20" s="13">
        <v>3469190.1500000004</v>
      </c>
      <c r="H20" s="18"/>
    </row>
    <row r="21" spans="1:8">
      <c r="A21" s="42" t="s">
        <v>19</v>
      </c>
      <c r="B21" s="13">
        <v>2609995.1399999997</v>
      </c>
      <c r="H21" s="18"/>
    </row>
    <row r="22" spans="1:8">
      <c r="A22" s="42" t="s">
        <v>103</v>
      </c>
      <c r="B22" s="13">
        <v>3462860.8099999996</v>
      </c>
      <c r="H22" s="18"/>
    </row>
    <row r="23" spans="1:8">
      <c r="A23" s="42" t="s">
        <v>39</v>
      </c>
      <c r="B23" s="13">
        <v>2188932.67</v>
      </c>
      <c r="H23" s="18"/>
    </row>
    <row r="24" spans="1:8">
      <c r="A24" s="42" t="s">
        <v>34</v>
      </c>
      <c r="B24" s="13">
        <v>2379949.2000000007</v>
      </c>
      <c r="H24" s="18"/>
    </row>
    <row r="25" spans="1:8">
      <c r="A25" s="42" t="s">
        <v>73</v>
      </c>
      <c r="B25" s="13">
        <v>1680972.7499999998</v>
      </c>
      <c r="H25" s="18"/>
    </row>
    <row r="26" spans="1:8">
      <c r="A26" s="42" t="s">
        <v>63</v>
      </c>
      <c r="B26" s="13">
        <v>4148926.169999999</v>
      </c>
      <c r="H26" s="18"/>
    </row>
    <row r="27" spans="1:8">
      <c r="A27" s="42" t="s">
        <v>292</v>
      </c>
      <c r="B27" s="13">
        <v>24004981.52</v>
      </c>
      <c r="H27" s="18"/>
    </row>
    <row r="28" spans="1:8">
      <c r="A28" s="17"/>
      <c r="H28" s="18"/>
    </row>
    <row r="29" spans="1:8">
      <c r="A29" s="17"/>
      <c r="H29" s="18"/>
    </row>
    <row r="30" spans="1:8">
      <c r="A30" s="17"/>
      <c r="H30" s="18"/>
    </row>
    <row r="31" spans="1:8" ht="15" thickBot="1">
      <c r="A31" s="29"/>
      <c r="B31" s="19"/>
      <c r="C31" s="19"/>
      <c r="D31" s="19"/>
      <c r="E31" s="19"/>
      <c r="F31" s="19"/>
      <c r="G31" s="19"/>
      <c r="H31" s="20"/>
    </row>
    <row r="33" spans="1:3" ht="15" thickBot="1"/>
    <row r="34" spans="1:3">
      <c r="A34" s="57" t="s">
        <v>302</v>
      </c>
      <c r="B34" s="58"/>
      <c r="C34" s="59"/>
    </row>
    <row r="35" spans="1:3" ht="15" thickBot="1">
      <c r="A35" s="17"/>
      <c r="C35" s="18"/>
    </row>
    <row r="36" spans="1:3" ht="15" thickBot="1">
      <c r="A36" s="24" t="s">
        <v>291</v>
      </c>
      <c r="B36" s="26" t="s">
        <v>297</v>
      </c>
      <c r="C36" s="18"/>
    </row>
    <row r="37" spans="1:3" ht="15" thickBot="1">
      <c r="A37" s="25" t="s">
        <v>63</v>
      </c>
      <c r="B37" s="21">
        <v>4148926.169999999</v>
      </c>
      <c r="C37" s="18"/>
    </row>
    <row r="38" spans="1:3" ht="15" thickBot="1">
      <c r="A38" s="25" t="s">
        <v>292</v>
      </c>
      <c r="B38" s="23">
        <v>4148926.169999999</v>
      </c>
      <c r="C38" s="18"/>
    </row>
    <row r="39" spans="1:3">
      <c r="A39" s="17"/>
      <c r="C39" s="18"/>
    </row>
    <row r="40" spans="1:3">
      <c r="A40" s="17"/>
      <c r="C40" s="18"/>
    </row>
    <row r="41" spans="1:3" ht="15" thickBot="1">
      <c r="A41" s="17"/>
      <c r="C41" s="18"/>
    </row>
    <row r="42" spans="1:3" ht="15" thickBot="1">
      <c r="A42" s="26" t="s">
        <v>299</v>
      </c>
      <c r="C42" s="18"/>
    </row>
    <row r="43" spans="1:3" ht="15" thickBot="1">
      <c r="A43" s="26">
        <v>200</v>
      </c>
      <c r="C43" s="18"/>
    </row>
    <row r="44" spans="1:3">
      <c r="A44" s="17"/>
      <c r="C44" s="18"/>
    </row>
    <row r="45" spans="1:3" ht="15" thickBot="1">
      <c r="A45" s="17"/>
      <c r="C45" s="18"/>
    </row>
    <row r="46" spans="1:3" ht="15" thickBot="1">
      <c r="A46" s="26" t="s">
        <v>301</v>
      </c>
      <c r="C46" s="18"/>
    </row>
    <row r="47" spans="1:3" ht="15" thickBot="1">
      <c r="A47" s="31">
        <v>120024.90760000008</v>
      </c>
      <c r="B47" s="19"/>
      <c r="C47" s="20"/>
    </row>
    <row r="48" spans="1:3" ht="15" thickBot="1"/>
    <row r="49" spans="1:10" ht="15" thickBot="1">
      <c r="A49" s="55" t="s">
        <v>307</v>
      </c>
      <c r="B49" s="56"/>
      <c r="C49" s="56"/>
      <c r="D49" s="56"/>
      <c r="E49" s="56"/>
      <c r="F49" s="56"/>
      <c r="G49" s="56"/>
      <c r="H49" s="56"/>
      <c r="I49" s="56"/>
      <c r="J49" s="60"/>
    </row>
    <row r="50" spans="1:10">
      <c r="A50" s="41" t="s">
        <v>291</v>
      </c>
      <c r="B50" t="s">
        <v>293</v>
      </c>
      <c r="J50" s="18"/>
    </row>
    <row r="51" spans="1:10">
      <c r="A51" s="42" t="s">
        <v>44</v>
      </c>
      <c r="B51">
        <v>155</v>
      </c>
      <c r="J51" s="18"/>
    </row>
    <row r="52" spans="1:10">
      <c r="A52" s="42" t="s">
        <v>26</v>
      </c>
      <c r="B52">
        <v>171</v>
      </c>
      <c r="J52" s="18"/>
    </row>
    <row r="53" spans="1:10">
      <c r="A53" s="42" t="s">
        <v>19</v>
      </c>
      <c r="B53">
        <v>151</v>
      </c>
      <c r="J53" s="18"/>
    </row>
    <row r="54" spans="1:10">
      <c r="A54" s="42" t="s">
        <v>103</v>
      </c>
      <c r="B54">
        <v>133</v>
      </c>
      <c r="J54" s="18"/>
    </row>
    <row r="55" spans="1:10">
      <c r="A55" s="42" t="s">
        <v>39</v>
      </c>
      <c r="B55">
        <v>132</v>
      </c>
      <c r="J55" s="18"/>
    </row>
    <row r="56" spans="1:10">
      <c r="A56" s="42" t="s">
        <v>34</v>
      </c>
      <c r="B56">
        <v>108</v>
      </c>
      <c r="J56" s="18"/>
    </row>
    <row r="57" spans="1:10">
      <c r="A57" s="42" t="s">
        <v>73</v>
      </c>
      <c r="B57">
        <v>100</v>
      </c>
      <c r="J57" s="18"/>
    </row>
    <row r="58" spans="1:10">
      <c r="A58" s="42" t="s">
        <v>63</v>
      </c>
      <c r="B58">
        <v>152</v>
      </c>
      <c r="J58" s="18"/>
    </row>
    <row r="59" spans="1:10">
      <c r="A59" s="42" t="s">
        <v>292</v>
      </c>
      <c r="B59">
        <v>1102</v>
      </c>
      <c r="J59" s="18"/>
    </row>
    <row r="60" spans="1:10">
      <c r="A60" s="17"/>
      <c r="J60" s="18"/>
    </row>
    <row r="61" spans="1:10">
      <c r="A61" s="17"/>
      <c r="J61" s="18"/>
    </row>
    <row r="62" spans="1:10">
      <c r="A62" s="17"/>
      <c r="J62" s="18"/>
    </row>
    <row r="63" spans="1:10">
      <c r="A63" s="17"/>
      <c r="J63" s="18"/>
    </row>
    <row r="64" spans="1:10">
      <c r="A64" s="17"/>
      <c r="J64" s="18"/>
    </row>
    <row r="65" spans="1:10" ht="15" thickBot="1">
      <c r="A65" s="29"/>
      <c r="B65" s="19"/>
      <c r="C65" s="19"/>
      <c r="D65" s="19"/>
      <c r="E65" s="19"/>
      <c r="F65" s="19"/>
      <c r="G65" s="19"/>
      <c r="H65" s="19"/>
      <c r="I65" s="19"/>
      <c r="J65" s="20"/>
    </row>
  </sheetData>
  <mergeCells count="3">
    <mergeCell ref="A34:C34"/>
    <mergeCell ref="A16:H16"/>
    <mergeCell ref="A49:J49"/>
  </mergeCell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6F97D-8318-4522-84E7-B0BD7E48439E}">
  <dimension ref="C8:D8"/>
  <sheetViews>
    <sheetView showGridLines="0" zoomScale="86" zoomScaleNormal="86" workbookViewId="0">
      <selection activeCell="B6" sqref="B6"/>
    </sheetView>
  </sheetViews>
  <sheetFormatPr defaultRowHeight="14.4"/>
  <sheetData>
    <row r="8" spans="3:4">
      <c r="C8" s="27"/>
      <c r="D8" s="2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E0589-EB28-49E8-AB64-57EE1E96DD1B}">
  <dimension ref="A1:L328"/>
  <sheetViews>
    <sheetView workbookViewId="0">
      <selection activeCell="H16" sqref="H16"/>
    </sheetView>
  </sheetViews>
  <sheetFormatPr defaultRowHeight="14.4"/>
  <cols>
    <col min="1" max="1" width="12.5546875" bestFit="1" customWidth="1"/>
    <col min="2" max="2" width="25.21875" bestFit="1" customWidth="1"/>
  </cols>
  <sheetData>
    <row r="1" spans="1:4" ht="15" thickBot="1">
      <c r="A1" s="61" t="s">
        <v>302</v>
      </c>
      <c r="B1" s="62"/>
      <c r="C1" s="62"/>
      <c r="D1" s="63"/>
    </row>
    <row r="2" spans="1:4" ht="15" thickBot="1">
      <c r="A2" s="14"/>
      <c r="B2" s="15"/>
      <c r="C2" s="15"/>
      <c r="D2" s="16"/>
    </row>
    <row r="3" spans="1:4" ht="15" thickBot="1">
      <c r="A3" s="26" t="s">
        <v>297</v>
      </c>
      <c r="D3" s="18"/>
    </row>
    <row r="4" spans="1:4" ht="15" thickBot="1">
      <c r="A4" s="32">
        <v>24004981.520000014</v>
      </c>
      <c r="C4" s="13">
        <v>24004981.520000014</v>
      </c>
      <c r="D4" s="18"/>
    </row>
    <row r="5" spans="1:4">
      <c r="A5" s="17"/>
      <c r="D5" s="18"/>
    </row>
    <row r="6" spans="1:4" ht="15" thickBot="1">
      <c r="A6" s="17"/>
      <c r="D6" s="18"/>
    </row>
    <row r="7" spans="1:4" ht="15" thickBot="1">
      <c r="A7" s="26" t="s">
        <v>299</v>
      </c>
      <c r="D7" s="18"/>
    </row>
    <row r="8" spans="1:4" ht="15" thickBot="1">
      <c r="A8" s="26">
        <v>200</v>
      </c>
      <c r="C8">
        <v>200</v>
      </c>
      <c r="D8" s="18"/>
    </row>
    <row r="9" spans="1:4" ht="15" thickBot="1">
      <c r="A9" s="17"/>
      <c r="D9" s="18"/>
    </row>
    <row r="10" spans="1:4" ht="15" thickBot="1">
      <c r="A10" s="26" t="s">
        <v>301</v>
      </c>
      <c r="D10" s="18"/>
    </row>
    <row r="11" spans="1:4" ht="15" thickBot="1">
      <c r="A11" s="31">
        <v>120024.90760000008</v>
      </c>
      <c r="C11" s="28">
        <v>120024.90760000008</v>
      </c>
      <c r="D11" s="18"/>
    </row>
    <row r="12" spans="1:4" ht="15" thickBot="1">
      <c r="A12" s="17"/>
      <c r="D12" s="18"/>
    </row>
    <row r="13" spans="1:4" ht="15" thickBot="1">
      <c r="A13" s="26" t="s">
        <v>293</v>
      </c>
      <c r="D13" s="18"/>
    </row>
    <row r="14" spans="1:4" ht="15" thickBot="1">
      <c r="A14" s="26">
        <v>1102</v>
      </c>
      <c r="C14">
        <v>1102</v>
      </c>
      <c r="D14" s="18"/>
    </row>
    <row r="15" spans="1:4" ht="15" thickBot="1">
      <c r="A15" s="29"/>
      <c r="B15" s="19"/>
      <c r="C15" s="19"/>
      <c r="D15" s="20"/>
    </row>
    <row r="17" spans="1:10" ht="15" thickBot="1"/>
    <row r="18" spans="1:10" ht="15" thickBot="1">
      <c r="A18" s="61" t="s">
        <v>286</v>
      </c>
      <c r="B18" s="62"/>
      <c r="C18" s="62"/>
      <c r="D18" s="62"/>
      <c r="E18" s="62"/>
      <c r="F18" s="62"/>
      <c r="G18" s="62"/>
      <c r="H18" s="62"/>
      <c r="I18" s="62"/>
      <c r="J18" s="63"/>
    </row>
    <row r="19" spans="1:10" ht="15" thickBot="1">
      <c r="A19" s="24" t="s">
        <v>291</v>
      </c>
      <c r="B19" s="26" t="s">
        <v>297</v>
      </c>
      <c r="J19" s="18"/>
    </row>
    <row r="20" spans="1:10">
      <c r="A20" s="36">
        <v>1</v>
      </c>
      <c r="B20" s="21">
        <v>2118464.9</v>
      </c>
      <c r="J20" s="18"/>
    </row>
    <row r="21" spans="1:10">
      <c r="A21" s="37">
        <v>2</v>
      </c>
      <c r="B21" s="22">
        <v>2192128.9099999997</v>
      </c>
      <c r="J21" s="18"/>
    </row>
    <row r="22" spans="1:10">
      <c r="A22" s="37">
        <v>3</v>
      </c>
      <c r="B22" s="22">
        <v>1976581.0300000003</v>
      </c>
      <c r="J22" s="18"/>
    </row>
    <row r="23" spans="1:10">
      <c r="A23" s="37">
        <v>4</v>
      </c>
      <c r="B23" s="22">
        <v>1247148.1099999999</v>
      </c>
      <c r="J23" s="18"/>
    </row>
    <row r="24" spans="1:10">
      <c r="A24" s="37">
        <v>5</v>
      </c>
      <c r="B24" s="22">
        <v>1934445.16</v>
      </c>
      <c r="J24" s="18"/>
    </row>
    <row r="25" spans="1:10">
      <c r="A25" s="37">
        <v>6</v>
      </c>
      <c r="B25" s="22">
        <v>2432774.5999999996</v>
      </c>
      <c r="J25" s="18"/>
    </row>
    <row r="26" spans="1:10">
      <c r="A26" s="37">
        <v>7</v>
      </c>
      <c r="B26" s="22">
        <v>2765036.8599999994</v>
      </c>
      <c r="J26" s="18"/>
    </row>
    <row r="27" spans="1:10">
      <c r="A27" s="37">
        <v>8</v>
      </c>
      <c r="B27" s="22">
        <v>2113696.5699999998</v>
      </c>
      <c r="J27" s="18"/>
    </row>
    <row r="28" spans="1:10">
      <c r="A28" s="37">
        <v>9</v>
      </c>
      <c r="B28" s="22">
        <v>2030347.7599999998</v>
      </c>
      <c r="J28" s="18"/>
    </row>
    <row r="29" spans="1:10">
      <c r="A29" s="37">
        <v>10</v>
      </c>
      <c r="B29" s="22">
        <v>2592482.19</v>
      </c>
      <c r="J29" s="18"/>
    </row>
    <row r="30" spans="1:10">
      <c r="A30" s="37">
        <v>11</v>
      </c>
      <c r="B30" s="22">
        <v>1167007.6000000001</v>
      </c>
      <c r="J30" s="18"/>
    </row>
    <row r="31" spans="1:10" ht="15" thickBot="1">
      <c r="A31" s="38">
        <v>12</v>
      </c>
      <c r="B31" s="22">
        <v>1434867.8300000003</v>
      </c>
      <c r="J31" s="18"/>
    </row>
    <row r="32" spans="1:10" ht="15" thickBot="1">
      <c r="A32" s="39" t="s">
        <v>292</v>
      </c>
      <c r="B32" s="23">
        <v>24004981.520000003</v>
      </c>
      <c r="J32" s="18"/>
    </row>
    <row r="33" spans="1:10">
      <c r="A33" s="17"/>
      <c r="J33" s="18"/>
    </row>
    <row r="34" spans="1:10">
      <c r="A34" s="17"/>
      <c r="J34" s="18"/>
    </row>
    <row r="35" spans="1:10" ht="15" thickBot="1">
      <c r="A35" s="29"/>
      <c r="B35" s="19"/>
      <c r="C35" s="19"/>
      <c r="D35" s="19"/>
      <c r="E35" s="19"/>
      <c r="F35" s="19"/>
      <c r="G35" s="19"/>
      <c r="H35" s="19"/>
      <c r="I35" s="19"/>
      <c r="J35" s="20"/>
    </row>
    <row r="37" spans="1:10" ht="15" thickBot="1"/>
    <row r="38" spans="1:10" ht="15" thickBot="1">
      <c r="A38" s="61" t="s">
        <v>304</v>
      </c>
      <c r="B38" s="62"/>
      <c r="C38" s="62"/>
      <c r="D38" s="62"/>
      <c r="E38" s="62"/>
      <c r="F38" s="62"/>
      <c r="G38" s="62"/>
      <c r="H38" s="62"/>
      <c r="I38" s="63"/>
    </row>
    <row r="39" spans="1:10" ht="15" thickBot="1">
      <c r="A39" s="24" t="s">
        <v>291</v>
      </c>
      <c r="B39" s="26" t="s">
        <v>297</v>
      </c>
      <c r="I39" s="18"/>
    </row>
    <row r="40" spans="1:10">
      <c r="A40" s="40" t="s">
        <v>41</v>
      </c>
      <c r="B40" s="21">
        <v>7643971.5199999986</v>
      </c>
      <c r="I40" s="18"/>
    </row>
    <row r="41" spans="1:10">
      <c r="A41" s="34" t="s">
        <v>15</v>
      </c>
      <c r="B41" s="22">
        <v>4982964.7199999979</v>
      </c>
      <c r="I41" s="18"/>
    </row>
    <row r="42" spans="1:10">
      <c r="A42" s="34" t="s">
        <v>23</v>
      </c>
      <c r="B42" s="22">
        <v>5367067.9099999992</v>
      </c>
      <c r="I42" s="18"/>
    </row>
    <row r="43" spans="1:10" ht="15" thickBot="1">
      <c r="A43" s="35" t="s">
        <v>30</v>
      </c>
      <c r="B43" s="22">
        <v>6010977.3700000001</v>
      </c>
      <c r="I43" s="18"/>
    </row>
    <row r="44" spans="1:10" ht="15" thickBot="1">
      <c r="A44" s="25" t="s">
        <v>292</v>
      </c>
      <c r="B44" s="23">
        <v>24004981.519999996</v>
      </c>
      <c r="I44" s="18"/>
    </row>
    <row r="45" spans="1:10">
      <c r="A45" s="17"/>
      <c r="I45" s="18"/>
    </row>
    <row r="46" spans="1:10">
      <c r="A46" s="17"/>
      <c r="I46" s="18"/>
    </row>
    <row r="47" spans="1:10">
      <c r="A47" s="17"/>
      <c r="I47" s="18"/>
    </row>
    <row r="48" spans="1:10">
      <c r="A48" s="17"/>
      <c r="I48" s="18"/>
    </row>
    <row r="49" spans="1:12">
      <c r="A49" s="17"/>
      <c r="I49" s="18"/>
    </row>
    <row r="50" spans="1:12">
      <c r="A50" s="17"/>
      <c r="I50" s="18"/>
    </row>
    <row r="51" spans="1:12" ht="15" thickBot="1">
      <c r="A51" s="29"/>
      <c r="B51" s="19"/>
      <c r="C51" s="19"/>
      <c r="D51" s="19"/>
      <c r="E51" s="19"/>
      <c r="F51" s="19"/>
      <c r="G51" s="19"/>
      <c r="H51" s="19"/>
      <c r="I51" s="20"/>
    </row>
    <row r="53" spans="1:12" ht="15" thickBot="1"/>
    <row r="54" spans="1:12" ht="15" thickBot="1">
      <c r="A54" s="61" t="s">
        <v>305</v>
      </c>
      <c r="B54" s="62"/>
      <c r="C54" s="62"/>
      <c r="D54" s="62"/>
      <c r="E54" s="62"/>
      <c r="F54" s="62"/>
      <c r="G54" s="62"/>
      <c r="H54" s="62"/>
      <c r="I54" s="62"/>
      <c r="J54" s="62"/>
      <c r="K54" s="62"/>
      <c r="L54" s="63"/>
    </row>
    <row r="55" spans="1:12" ht="15" thickBot="1">
      <c r="A55" s="24" t="s">
        <v>291</v>
      </c>
      <c r="B55" s="26" t="s">
        <v>297</v>
      </c>
      <c r="L55" s="18"/>
    </row>
    <row r="56" spans="1:12">
      <c r="A56" s="40" t="s">
        <v>13</v>
      </c>
      <c r="B56" s="21">
        <v>4334263.3499999996</v>
      </c>
      <c r="L56" s="18"/>
    </row>
    <row r="57" spans="1:12">
      <c r="A57" s="34" t="s">
        <v>21</v>
      </c>
      <c r="B57" s="22">
        <v>6708061.6499999994</v>
      </c>
      <c r="L57" s="18"/>
    </row>
    <row r="58" spans="1:12">
      <c r="A58" s="34" t="s">
        <v>28</v>
      </c>
      <c r="B58" s="22">
        <v>6205315.25</v>
      </c>
      <c r="L58" s="18"/>
    </row>
    <row r="59" spans="1:12" ht="15" thickBot="1">
      <c r="A59" s="35" t="s">
        <v>69</v>
      </c>
      <c r="B59" s="22">
        <v>6757341.2699999986</v>
      </c>
      <c r="L59" s="18"/>
    </row>
    <row r="60" spans="1:12" ht="15" thickBot="1">
      <c r="A60" s="25" t="s">
        <v>292</v>
      </c>
      <c r="B60" s="23">
        <v>24004981.52</v>
      </c>
      <c r="L60" s="18"/>
    </row>
    <row r="61" spans="1:12">
      <c r="A61" s="17"/>
      <c r="L61" s="18"/>
    </row>
    <row r="62" spans="1:12">
      <c r="A62" s="17"/>
      <c r="L62" s="18"/>
    </row>
    <row r="63" spans="1:12">
      <c r="A63" s="17"/>
      <c r="L63" s="18"/>
    </row>
    <row r="64" spans="1:12">
      <c r="A64" s="17"/>
      <c r="L64" s="18"/>
    </row>
    <row r="65" spans="1:12">
      <c r="A65" s="17"/>
      <c r="L65" s="18"/>
    </row>
    <row r="66" spans="1:12">
      <c r="A66" s="17"/>
      <c r="L66" s="18"/>
    </row>
    <row r="67" spans="1:12">
      <c r="A67" s="17"/>
      <c r="L67" s="18"/>
    </row>
    <row r="68" spans="1:12">
      <c r="A68" s="17"/>
      <c r="L68" s="18"/>
    </row>
    <row r="69" spans="1:12" ht="15" thickBot="1">
      <c r="A69" s="29"/>
      <c r="B69" s="19"/>
      <c r="C69" s="19"/>
      <c r="D69" s="19"/>
      <c r="E69" s="19"/>
      <c r="F69" s="19"/>
      <c r="G69" s="19"/>
      <c r="H69" s="19"/>
      <c r="I69" s="19"/>
      <c r="J69" s="19"/>
      <c r="K69" s="19"/>
      <c r="L69" s="20"/>
    </row>
    <row r="328" ht="15" thickBot="1"/>
  </sheetData>
  <mergeCells count="4">
    <mergeCell ref="A18:J18"/>
    <mergeCell ref="A38:I38"/>
    <mergeCell ref="A54:L54"/>
    <mergeCell ref="A1:D1"/>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3CA6-6BB5-40F7-A2DD-6A2B236CFC6E}">
  <dimension ref="A1"/>
  <sheetViews>
    <sheetView showGridLines="0" tabSelected="1" zoomScale="62" zoomScaleNormal="62" workbookViewId="0">
      <selection activeCell="AC27" sqref="AC27"/>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1"/>
  <sheetViews>
    <sheetView workbookViewId="0">
      <selection activeCell="Q2" sqref="Q2"/>
    </sheetView>
  </sheetViews>
  <sheetFormatPr defaultRowHeight="14.4"/>
  <cols>
    <col min="1" max="1" width="9.44140625" customWidth="1"/>
    <col min="2" max="2" width="10.33203125" bestFit="1" customWidth="1"/>
    <col min="3" max="3" width="11.33203125" style="33" customWidth="1"/>
    <col min="4" max="4" width="11.44140625" bestFit="1" customWidth="1"/>
    <col min="5" max="5" width="10.44140625" customWidth="1"/>
    <col min="6" max="6" width="14.33203125" customWidth="1"/>
    <col min="7" max="7" width="16.77734375" bestFit="1" customWidth="1"/>
    <col min="8" max="8" width="10.21875" customWidth="1"/>
    <col min="9" max="9" width="11" customWidth="1"/>
    <col min="10" max="11" width="10.21875" customWidth="1"/>
    <col min="12" max="12" width="14.21875" customWidth="1"/>
    <col min="13" max="13" width="15.5546875" customWidth="1"/>
    <col min="14" max="14" width="12.88671875" customWidth="1"/>
  </cols>
  <sheetData>
    <row r="1" spans="1:16">
      <c r="A1" t="s">
        <v>0</v>
      </c>
      <c r="B1" t="s">
        <v>1</v>
      </c>
      <c r="C1" s="33" t="s">
        <v>303</v>
      </c>
      <c r="D1" t="s">
        <v>2</v>
      </c>
      <c r="E1" t="s">
        <v>3</v>
      </c>
      <c r="F1" t="s">
        <v>4</v>
      </c>
      <c r="G1" t="s">
        <v>5</v>
      </c>
      <c r="H1" t="s">
        <v>6</v>
      </c>
      <c r="I1" t="s">
        <v>7</v>
      </c>
      <c r="J1" t="s">
        <v>8</v>
      </c>
      <c r="K1" t="s">
        <v>294</v>
      </c>
      <c r="L1" t="s">
        <v>295</v>
      </c>
      <c r="M1" t="s">
        <v>296</v>
      </c>
      <c r="N1" t="s">
        <v>9</v>
      </c>
      <c r="O1" t="s">
        <v>10</v>
      </c>
      <c r="P1" t="s">
        <v>11</v>
      </c>
    </row>
    <row r="2" spans="1:16">
      <c r="A2">
        <v>1001</v>
      </c>
      <c r="B2" s="30" t="s">
        <v>12</v>
      </c>
      <c r="C2" s="33">
        <f>MONTH(Table1[[#This Row],[Date]])</f>
        <v>4</v>
      </c>
      <c r="D2" t="s">
        <v>13</v>
      </c>
      <c r="E2" t="s">
        <v>14</v>
      </c>
      <c r="F2" t="s">
        <v>15</v>
      </c>
      <c r="G2" t="s">
        <v>16</v>
      </c>
      <c r="H2" t="s">
        <v>17</v>
      </c>
      <c r="I2">
        <v>9</v>
      </c>
      <c r="J2">
        <v>32905</v>
      </c>
      <c r="K2">
        <f>Table1[[#This Row],[Quantity]]*Table1[[#This Row],[Unit Price]]</f>
        <v>296145</v>
      </c>
      <c r="L2">
        <f>Table1[[#This Row],[Sales]]*Table1[[#This Row],[Discount]]</f>
        <v>20730.150000000001</v>
      </c>
      <c r="M2">
        <f>Table1[[#This Row],[Sales]]-Table1[[#This Row],[dis]]</f>
        <v>275414.84999999998</v>
      </c>
      <c r="N2">
        <v>7.0000000000000007E-2</v>
      </c>
      <c r="O2" t="s">
        <v>18</v>
      </c>
      <c r="P2" t="s">
        <v>19</v>
      </c>
    </row>
    <row r="3" spans="1:16">
      <c r="A3">
        <v>1002</v>
      </c>
      <c r="B3" s="30" t="s">
        <v>20</v>
      </c>
      <c r="C3" s="33">
        <f>MONTH(Table1[[#This Row],[Date]])</f>
        <v>6</v>
      </c>
      <c r="D3" t="s">
        <v>21</v>
      </c>
      <c r="E3" t="s">
        <v>22</v>
      </c>
      <c r="F3" t="s">
        <v>23</v>
      </c>
      <c r="G3" t="s">
        <v>24</v>
      </c>
      <c r="H3" t="s">
        <v>25</v>
      </c>
      <c r="I3">
        <v>9</v>
      </c>
      <c r="J3">
        <v>40330</v>
      </c>
      <c r="K3">
        <f>Table1[[#This Row],[Quantity]]*Table1[[#This Row],[Unit Price]]</f>
        <v>362970</v>
      </c>
      <c r="L3">
        <f>Table1[[#This Row],[Sales]]*Table1[[#This Row],[Discount]]</f>
        <v>14518.800000000001</v>
      </c>
      <c r="M3">
        <f>Table1[[#This Row],[Sales]]-Table1[[#This Row],[dis]]</f>
        <v>348451.2</v>
      </c>
      <c r="N3">
        <v>0.04</v>
      </c>
      <c r="O3" t="s">
        <v>18</v>
      </c>
      <c r="P3" t="s">
        <v>26</v>
      </c>
    </row>
    <row r="4" spans="1:16">
      <c r="A4">
        <v>1003</v>
      </c>
      <c r="B4" s="30" t="s">
        <v>27</v>
      </c>
      <c r="C4" s="33">
        <f>MONTH(Table1[[#This Row],[Date]])</f>
        <v>12</v>
      </c>
      <c r="D4" t="s">
        <v>28</v>
      </c>
      <c r="E4" t="s">
        <v>29</v>
      </c>
      <c r="F4" t="s">
        <v>30</v>
      </c>
      <c r="G4" t="s">
        <v>31</v>
      </c>
      <c r="H4" t="s">
        <v>32</v>
      </c>
      <c r="I4">
        <v>2</v>
      </c>
      <c r="J4">
        <v>46305</v>
      </c>
      <c r="K4">
        <f>Table1[[#This Row],[Quantity]]*Table1[[#This Row],[Unit Price]]</f>
        <v>92610</v>
      </c>
      <c r="L4">
        <f>Table1[[#This Row],[Sales]]*Table1[[#This Row],[Discount]]</f>
        <v>9261</v>
      </c>
      <c r="M4">
        <f>Table1[[#This Row],[Sales]]-Table1[[#This Row],[dis]]</f>
        <v>83349</v>
      </c>
      <c r="N4">
        <v>0.1</v>
      </c>
      <c r="O4" t="s">
        <v>33</v>
      </c>
      <c r="P4" t="s">
        <v>34</v>
      </c>
    </row>
    <row r="5" spans="1:16">
      <c r="A5">
        <v>1004</v>
      </c>
      <c r="B5" s="30" t="s">
        <v>35</v>
      </c>
      <c r="C5" s="33">
        <f>MONTH(Table1[[#This Row],[Date]])</f>
        <v>8</v>
      </c>
      <c r="D5" t="s">
        <v>28</v>
      </c>
      <c r="E5" t="s">
        <v>36</v>
      </c>
      <c r="F5" t="s">
        <v>23</v>
      </c>
      <c r="G5" t="s">
        <v>37</v>
      </c>
      <c r="H5" t="s">
        <v>38</v>
      </c>
      <c r="I5">
        <v>8</v>
      </c>
      <c r="J5">
        <v>32683</v>
      </c>
      <c r="K5">
        <f>Table1[[#This Row],[Quantity]]*Table1[[#This Row],[Unit Price]]</f>
        <v>261464</v>
      </c>
      <c r="L5">
        <f>Table1[[#This Row],[Sales]]*Table1[[#This Row],[Discount]]</f>
        <v>7843.92</v>
      </c>
      <c r="M5">
        <f>Table1[[#This Row],[Sales]]-Table1[[#This Row],[dis]]</f>
        <v>253620.08</v>
      </c>
      <c r="N5">
        <v>0.03</v>
      </c>
      <c r="O5" t="s">
        <v>18</v>
      </c>
      <c r="P5" t="s">
        <v>39</v>
      </c>
    </row>
    <row r="6" spans="1:16">
      <c r="A6">
        <v>1005</v>
      </c>
      <c r="B6" s="30" t="s">
        <v>40</v>
      </c>
      <c r="C6" s="33">
        <f>MONTH(Table1[[#This Row],[Date]])</f>
        <v>8</v>
      </c>
      <c r="D6" t="s">
        <v>21</v>
      </c>
      <c r="E6" t="s">
        <v>22</v>
      </c>
      <c r="F6" t="s">
        <v>41</v>
      </c>
      <c r="G6" t="s">
        <v>42</v>
      </c>
      <c r="H6" t="s">
        <v>43</v>
      </c>
      <c r="I6">
        <v>8</v>
      </c>
      <c r="J6">
        <v>30507</v>
      </c>
      <c r="K6">
        <f>Table1[[#This Row],[Quantity]]*Table1[[#This Row],[Unit Price]]</f>
        <v>244056</v>
      </c>
      <c r="L6">
        <f>Table1[[#This Row],[Sales]]*Table1[[#This Row],[Discount]]</f>
        <v>43930.080000000002</v>
      </c>
      <c r="M6">
        <f>Table1[[#This Row],[Sales]]-Table1[[#This Row],[dis]]</f>
        <v>200125.91999999998</v>
      </c>
      <c r="N6">
        <v>0.18</v>
      </c>
      <c r="O6" t="s">
        <v>33</v>
      </c>
      <c r="P6" t="s">
        <v>44</v>
      </c>
    </row>
    <row r="7" spans="1:16">
      <c r="A7">
        <v>1006</v>
      </c>
      <c r="B7" s="30" t="s">
        <v>45</v>
      </c>
      <c r="C7" s="33">
        <f>MONTH(Table1[[#This Row],[Date]])</f>
        <v>8</v>
      </c>
      <c r="D7" t="s">
        <v>28</v>
      </c>
      <c r="E7" t="s">
        <v>46</v>
      </c>
      <c r="F7" t="s">
        <v>41</v>
      </c>
      <c r="G7" t="s">
        <v>47</v>
      </c>
      <c r="H7" t="s">
        <v>48</v>
      </c>
      <c r="I7">
        <v>6</v>
      </c>
      <c r="J7">
        <v>23778</v>
      </c>
      <c r="K7">
        <f>Table1[[#This Row],[Quantity]]*Table1[[#This Row],[Unit Price]]</f>
        <v>142668</v>
      </c>
      <c r="L7">
        <f>Table1[[#This Row],[Sales]]*Table1[[#This Row],[Discount]]</f>
        <v>28533.600000000002</v>
      </c>
      <c r="M7">
        <f>Table1[[#This Row],[Sales]]-Table1[[#This Row],[dis]]</f>
        <v>114134.39999999999</v>
      </c>
      <c r="N7">
        <v>0.2</v>
      </c>
      <c r="O7" t="s">
        <v>18</v>
      </c>
      <c r="P7" t="s">
        <v>44</v>
      </c>
    </row>
    <row r="8" spans="1:16">
      <c r="A8">
        <v>1007</v>
      </c>
      <c r="B8" s="30" t="s">
        <v>49</v>
      </c>
      <c r="C8" s="33">
        <f>MONTH(Table1[[#This Row],[Date]])</f>
        <v>7</v>
      </c>
      <c r="D8" t="s">
        <v>28</v>
      </c>
      <c r="E8" t="s">
        <v>36</v>
      </c>
      <c r="F8" t="s">
        <v>15</v>
      </c>
      <c r="G8" t="s">
        <v>50</v>
      </c>
      <c r="H8" t="s">
        <v>51</v>
      </c>
      <c r="I8">
        <v>4</v>
      </c>
      <c r="J8">
        <v>20486</v>
      </c>
      <c r="K8">
        <f>Table1[[#This Row],[Quantity]]*Table1[[#This Row],[Unit Price]]</f>
        <v>81944</v>
      </c>
      <c r="L8">
        <f>Table1[[#This Row],[Sales]]*Table1[[#This Row],[Discount]]</f>
        <v>0</v>
      </c>
      <c r="M8">
        <f>Table1[[#This Row],[Sales]]-Table1[[#This Row],[dis]]</f>
        <v>81944</v>
      </c>
      <c r="N8">
        <v>0</v>
      </c>
      <c r="O8" t="s">
        <v>33</v>
      </c>
      <c r="P8" t="s">
        <v>34</v>
      </c>
    </row>
    <row r="9" spans="1:16">
      <c r="A9">
        <v>1008</v>
      </c>
      <c r="B9" s="30" t="s">
        <v>52</v>
      </c>
      <c r="C9" s="33">
        <f>MONTH(Table1[[#This Row],[Date]])</f>
        <v>12</v>
      </c>
      <c r="D9" t="s">
        <v>13</v>
      </c>
      <c r="E9" t="s">
        <v>14</v>
      </c>
      <c r="F9" t="s">
        <v>15</v>
      </c>
      <c r="G9" t="s">
        <v>16</v>
      </c>
      <c r="H9" t="s">
        <v>53</v>
      </c>
      <c r="I9">
        <v>8</v>
      </c>
      <c r="J9">
        <v>2388</v>
      </c>
      <c r="K9">
        <f>Table1[[#This Row],[Quantity]]*Table1[[#This Row],[Unit Price]]</f>
        <v>19104</v>
      </c>
      <c r="L9">
        <f>Table1[[#This Row],[Sales]]*Table1[[#This Row],[Discount]]</f>
        <v>2101.44</v>
      </c>
      <c r="M9">
        <f>Table1[[#This Row],[Sales]]-Table1[[#This Row],[dis]]</f>
        <v>17002.560000000001</v>
      </c>
      <c r="N9">
        <v>0.11</v>
      </c>
      <c r="O9" t="s">
        <v>33</v>
      </c>
      <c r="P9" t="s">
        <v>39</v>
      </c>
    </row>
    <row r="10" spans="1:16">
      <c r="A10">
        <v>1009</v>
      </c>
      <c r="B10" s="30" t="s">
        <v>54</v>
      </c>
      <c r="C10" s="33">
        <f>MONTH(Table1[[#This Row],[Date]])</f>
        <v>6</v>
      </c>
      <c r="D10" t="s">
        <v>28</v>
      </c>
      <c r="E10" t="s">
        <v>36</v>
      </c>
      <c r="F10" t="s">
        <v>30</v>
      </c>
      <c r="G10" t="s">
        <v>55</v>
      </c>
      <c r="H10" t="s">
        <v>56</v>
      </c>
      <c r="I10">
        <v>3</v>
      </c>
      <c r="J10">
        <v>25286</v>
      </c>
      <c r="K10">
        <f>Table1[[#This Row],[Quantity]]*Table1[[#This Row],[Unit Price]]</f>
        <v>75858</v>
      </c>
      <c r="L10">
        <f>Table1[[#This Row],[Sales]]*Table1[[#This Row],[Discount]]</f>
        <v>3034.32</v>
      </c>
      <c r="M10">
        <f>Table1[[#This Row],[Sales]]-Table1[[#This Row],[dis]]</f>
        <v>72823.679999999993</v>
      </c>
      <c r="N10">
        <v>0.04</v>
      </c>
      <c r="O10" t="s">
        <v>33</v>
      </c>
      <c r="P10" t="s">
        <v>39</v>
      </c>
    </row>
    <row r="11" spans="1:16">
      <c r="A11">
        <v>1010</v>
      </c>
      <c r="B11" s="30" t="s">
        <v>57</v>
      </c>
      <c r="C11" s="33">
        <f>MONTH(Table1[[#This Row],[Date]])</f>
        <v>1</v>
      </c>
      <c r="D11" t="s">
        <v>28</v>
      </c>
      <c r="E11" t="s">
        <v>58</v>
      </c>
      <c r="F11" t="s">
        <v>41</v>
      </c>
      <c r="G11" t="s">
        <v>42</v>
      </c>
      <c r="H11" t="s">
        <v>43</v>
      </c>
      <c r="I11">
        <v>1</v>
      </c>
      <c r="J11">
        <v>45849</v>
      </c>
      <c r="K11">
        <f>Table1[[#This Row],[Quantity]]*Table1[[#This Row],[Unit Price]]</f>
        <v>45849</v>
      </c>
      <c r="L11">
        <f>Table1[[#This Row],[Sales]]*Table1[[#This Row],[Discount]]</f>
        <v>5043.3900000000003</v>
      </c>
      <c r="M11">
        <f>Table1[[#This Row],[Sales]]-Table1[[#This Row],[dis]]</f>
        <v>40805.61</v>
      </c>
      <c r="N11">
        <v>0.11</v>
      </c>
      <c r="O11" t="s">
        <v>33</v>
      </c>
      <c r="P11" t="s">
        <v>34</v>
      </c>
    </row>
    <row r="12" spans="1:16">
      <c r="A12">
        <v>1011</v>
      </c>
      <c r="B12" s="30" t="s">
        <v>59</v>
      </c>
      <c r="C12" s="33">
        <f>MONTH(Table1[[#This Row],[Date]])</f>
        <v>2</v>
      </c>
      <c r="D12" t="s">
        <v>21</v>
      </c>
      <c r="E12" t="s">
        <v>60</v>
      </c>
      <c r="F12" t="s">
        <v>30</v>
      </c>
      <c r="G12" t="s">
        <v>61</v>
      </c>
      <c r="H12" t="s">
        <v>62</v>
      </c>
      <c r="I12">
        <v>7</v>
      </c>
      <c r="J12">
        <v>29584</v>
      </c>
      <c r="K12">
        <f>Table1[[#This Row],[Quantity]]*Table1[[#This Row],[Unit Price]]</f>
        <v>207088</v>
      </c>
      <c r="L12">
        <f>Table1[[#This Row],[Sales]]*Table1[[#This Row],[Discount]]</f>
        <v>4141.76</v>
      </c>
      <c r="M12">
        <f>Table1[[#This Row],[Sales]]-Table1[[#This Row],[dis]]</f>
        <v>202946.24</v>
      </c>
      <c r="N12">
        <v>0.02</v>
      </c>
      <c r="O12" t="s">
        <v>18</v>
      </c>
      <c r="P12" t="s">
        <v>63</v>
      </c>
    </row>
    <row r="13" spans="1:16">
      <c r="A13">
        <v>1012</v>
      </c>
      <c r="B13" s="30" t="s">
        <v>64</v>
      </c>
      <c r="C13" s="33">
        <f>MONTH(Table1[[#This Row],[Date]])</f>
        <v>12</v>
      </c>
      <c r="D13" t="s">
        <v>28</v>
      </c>
      <c r="E13" t="s">
        <v>58</v>
      </c>
      <c r="F13" t="s">
        <v>30</v>
      </c>
      <c r="G13" t="s">
        <v>61</v>
      </c>
      <c r="H13" t="s">
        <v>62</v>
      </c>
      <c r="I13">
        <v>9</v>
      </c>
      <c r="J13">
        <v>1513</v>
      </c>
      <c r="K13">
        <f>Table1[[#This Row],[Quantity]]*Table1[[#This Row],[Unit Price]]</f>
        <v>13617</v>
      </c>
      <c r="L13">
        <f>Table1[[#This Row],[Sales]]*Table1[[#This Row],[Discount]]</f>
        <v>2451.06</v>
      </c>
      <c r="M13">
        <f>Table1[[#This Row],[Sales]]-Table1[[#This Row],[dis]]</f>
        <v>11165.94</v>
      </c>
      <c r="N13">
        <v>0.18</v>
      </c>
      <c r="O13" t="s">
        <v>18</v>
      </c>
      <c r="P13" t="s">
        <v>19</v>
      </c>
    </row>
    <row r="14" spans="1:16">
      <c r="A14">
        <v>1013</v>
      </c>
      <c r="B14" s="30" t="s">
        <v>65</v>
      </c>
      <c r="C14" s="33">
        <f>MONTH(Table1[[#This Row],[Date]])</f>
        <v>6</v>
      </c>
      <c r="D14" t="s">
        <v>21</v>
      </c>
      <c r="E14" t="s">
        <v>60</v>
      </c>
      <c r="F14" t="s">
        <v>30</v>
      </c>
      <c r="G14" t="s">
        <v>66</v>
      </c>
      <c r="H14" t="s">
        <v>67</v>
      </c>
      <c r="I14">
        <v>3</v>
      </c>
      <c r="J14">
        <v>34587</v>
      </c>
      <c r="K14">
        <f>Table1[[#This Row],[Quantity]]*Table1[[#This Row],[Unit Price]]</f>
        <v>103761</v>
      </c>
      <c r="L14">
        <f>Table1[[#This Row],[Sales]]*Table1[[#This Row],[Discount]]</f>
        <v>11413.710000000001</v>
      </c>
      <c r="M14">
        <f>Table1[[#This Row],[Sales]]-Table1[[#This Row],[dis]]</f>
        <v>92347.29</v>
      </c>
      <c r="N14">
        <v>0.11</v>
      </c>
      <c r="O14" t="s">
        <v>33</v>
      </c>
      <c r="P14" t="s">
        <v>44</v>
      </c>
    </row>
    <row r="15" spans="1:16">
      <c r="A15">
        <v>1014</v>
      </c>
      <c r="B15" s="30" t="s">
        <v>68</v>
      </c>
      <c r="C15" s="33">
        <f>MONTH(Table1[[#This Row],[Date]])</f>
        <v>4</v>
      </c>
      <c r="D15" t="s">
        <v>69</v>
      </c>
      <c r="E15" t="s">
        <v>70</v>
      </c>
      <c r="F15" t="s">
        <v>30</v>
      </c>
      <c r="G15" t="s">
        <v>61</v>
      </c>
      <c r="H15" t="s">
        <v>62</v>
      </c>
      <c r="I15">
        <v>2</v>
      </c>
      <c r="J15">
        <v>32834</v>
      </c>
      <c r="K15">
        <f>Table1[[#This Row],[Quantity]]*Table1[[#This Row],[Unit Price]]</f>
        <v>65668</v>
      </c>
      <c r="L15">
        <f>Table1[[#This Row],[Sales]]*Table1[[#This Row],[Discount]]</f>
        <v>1970.04</v>
      </c>
      <c r="M15">
        <f>Table1[[#This Row],[Sales]]-Table1[[#This Row],[dis]]</f>
        <v>63697.96</v>
      </c>
      <c r="N15">
        <v>0.03</v>
      </c>
      <c r="O15" t="s">
        <v>33</v>
      </c>
      <c r="P15" t="s">
        <v>26</v>
      </c>
    </row>
    <row r="16" spans="1:16">
      <c r="A16">
        <v>1015</v>
      </c>
      <c r="B16" s="30" t="s">
        <v>71</v>
      </c>
      <c r="C16" s="33">
        <f>MONTH(Table1[[#This Row],[Date]])</f>
        <v>7</v>
      </c>
      <c r="D16" t="s">
        <v>69</v>
      </c>
      <c r="E16" t="s">
        <v>72</v>
      </c>
      <c r="F16" t="s">
        <v>15</v>
      </c>
      <c r="G16" t="s">
        <v>16</v>
      </c>
      <c r="H16" t="s">
        <v>53</v>
      </c>
      <c r="I16">
        <v>1</v>
      </c>
      <c r="J16">
        <v>26572</v>
      </c>
      <c r="K16">
        <f>Table1[[#This Row],[Quantity]]*Table1[[#This Row],[Unit Price]]</f>
        <v>26572</v>
      </c>
      <c r="L16">
        <f>Table1[[#This Row],[Sales]]*Table1[[#This Row],[Discount]]</f>
        <v>531.44000000000005</v>
      </c>
      <c r="M16">
        <f>Table1[[#This Row],[Sales]]-Table1[[#This Row],[dis]]</f>
        <v>26040.560000000001</v>
      </c>
      <c r="N16">
        <v>0.02</v>
      </c>
      <c r="O16" t="s">
        <v>18</v>
      </c>
      <c r="P16" t="s">
        <v>73</v>
      </c>
    </row>
    <row r="17" spans="1:16">
      <c r="A17">
        <v>1016</v>
      </c>
      <c r="B17" s="30" t="s">
        <v>74</v>
      </c>
      <c r="C17" s="33">
        <f>MONTH(Table1[[#This Row],[Date]])</f>
        <v>7</v>
      </c>
      <c r="D17" t="s">
        <v>69</v>
      </c>
      <c r="E17" t="s">
        <v>75</v>
      </c>
      <c r="F17" t="s">
        <v>41</v>
      </c>
      <c r="G17" t="s">
        <v>76</v>
      </c>
      <c r="H17" t="s">
        <v>77</v>
      </c>
      <c r="I17">
        <v>8</v>
      </c>
      <c r="J17">
        <v>19749</v>
      </c>
      <c r="K17">
        <f>Table1[[#This Row],[Quantity]]*Table1[[#This Row],[Unit Price]]</f>
        <v>157992</v>
      </c>
      <c r="L17">
        <f>Table1[[#This Row],[Sales]]*Table1[[#This Row],[Discount]]</f>
        <v>18959.04</v>
      </c>
      <c r="M17">
        <f>Table1[[#This Row],[Sales]]-Table1[[#This Row],[dis]]</f>
        <v>139032.95999999999</v>
      </c>
      <c r="N17">
        <v>0.12</v>
      </c>
      <c r="O17" t="s">
        <v>33</v>
      </c>
      <c r="P17" t="s">
        <v>63</v>
      </c>
    </row>
    <row r="18" spans="1:16">
      <c r="A18">
        <v>1017</v>
      </c>
      <c r="B18" s="30" t="s">
        <v>78</v>
      </c>
      <c r="C18" s="33">
        <f>MONTH(Table1[[#This Row],[Date]])</f>
        <v>7</v>
      </c>
      <c r="D18" t="s">
        <v>28</v>
      </c>
      <c r="E18" t="s">
        <v>46</v>
      </c>
      <c r="F18" t="s">
        <v>30</v>
      </c>
      <c r="G18" t="s">
        <v>61</v>
      </c>
      <c r="H18" t="s">
        <v>62</v>
      </c>
      <c r="I18">
        <v>7</v>
      </c>
      <c r="J18">
        <v>3906</v>
      </c>
      <c r="K18">
        <f>Table1[[#This Row],[Quantity]]*Table1[[#This Row],[Unit Price]]</f>
        <v>27342</v>
      </c>
      <c r="L18">
        <f>Table1[[#This Row],[Sales]]*Table1[[#This Row],[Discount]]</f>
        <v>3281.04</v>
      </c>
      <c r="M18">
        <f>Table1[[#This Row],[Sales]]-Table1[[#This Row],[dis]]</f>
        <v>24060.959999999999</v>
      </c>
      <c r="N18">
        <v>0.12</v>
      </c>
      <c r="O18" t="s">
        <v>33</v>
      </c>
      <c r="P18" t="s">
        <v>63</v>
      </c>
    </row>
    <row r="19" spans="1:16">
      <c r="A19">
        <v>1018</v>
      </c>
      <c r="B19" s="30" t="s">
        <v>79</v>
      </c>
      <c r="C19" s="33">
        <f>MONTH(Table1[[#This Row],[Date]])</f>
        <v>9</v>
      </c>
      <c r="D19" t="s">
        <v>21</v>
      </c>
      <c r="E19" t="s">
        <v>80</v>
      </c>
      <c r="F19" t="s">
        <v>30</v>
      </c>
      <c r="G19" t="s">
        <v>55</v>
      </c>
      <c r="H19" t="s">
        <v>56</v>
      </c>
      <c r="I19">
        <v>9</v>
      </c>
      <c r="J19">
        <v>45609</v>
      </c>
      <c r="K19">
        <f>Table1[[#This Row],[Quantity]]*Table1[[#This Row],[Unit Price]]</f>
        <v>410481</v>
      </c>
      <c r="L19">
        <f>Table1[[#This Row],[Sales]]*Table1[[#This Row],[Discount]]</f>
        <v>16419.240000000002</v>
      </c>
      <c r="M19">
        <f>Table1[[#This Row],[Sales]]-Table1[[#This Row],[dis]]</f>
        <v>394061.76</v>
      </c>
      <c r="N19">
        <v>0.04</v>
      </c>
      <c r="O19" t="s">
        <v>18</v>
      </c>
      <c r="P19" t="s">
        <v>44</v>
      </c>
    </row>
    <row r="20" spans="1:16">
      <c r="A20">
        <v>1019</v>
      </c>
      <c r="B20" s="30" t="s">
        <v>81</v>
      </c>
      <c r="C20" s="33">
        <f>MONTH(Table1[[#This Row],[Date]])</f>
        <v>9</v>
      </c>
      <c r="D20" t="s">
        <v>13</v>
      </c>
      <c r="E20" t="s">
        <v>82</v>
      </c>
      <c r="F20" t="s">
        <v>23</v>
      </c>
      <c r="G20" t="s">
        <v>37</v>
      </c>
      <c r="H20" t="s">
        <v>83</v>
      </c>
      <c r="I20">
        <v>10</v>
      </c>
      <c r="J20">
        <v>4005</v>
      </c>
      <c r="K20">
        <f>Table1[[#This Row],[Quantity]]*Table1[[#This Row],[Unit Price]]</f>
        <v>40050</v>
      </c>
      <c r="L20">
        <f>Table1[[#This Row],[Sales]]*Table1[[#This Row],[Discount]]</f>
        <v>6408</v>
      </c>
      <c r="M20">
        <f>Table1[[#This Row],[Sales]]-Table1[[#This Row],[dis]]</f>
        <v>33642</v>
      </c>
      <c r="N20">
        <v>0.16</v>
      </c>
      <c r="O20" t="s">
        <v>33</v>
      </c>
      <c r="P20" t="s">
        <v>26</v>
      </c>
    </row>
    <row r="21" spans="1:16">
      <c r="A21">
        <v>1020</v>
      </c>
      <c r="B21" s="30" t="s">
        <v>84</v>
      </c>
      <c r="C21" s="33">
        <f>MONTH(Table1[[#This Row],[Date]])</f>
        <v>4</v>
      </c>
      <c r="D21" t="s">
        <v>69</v>
      </c>
      <c r="E21" t="s">
        <v>72</v>
      </c>
      <c r="F21" t="s">
        <v>15</v>
      </c>
      <c r="G21" t="s">
        <v>85</v>
      </c>
      <c r="H21" t="s">
        <v>86</v>
      </c>
      <c r="I21">
        <v>1</v>
      </c>
      <c r="J21">
        <v>12018</v>
      </c>
      <c r="K21">
        <f>Table1[[#This Row],[Quantity]]*Table1[[#This Row],[Unit Price]]</f>
        <v>12018</v>
      </c>
      <c r="L21">
        <f>Table1[[#This Row],[Sales]]*Table1[[#This Row],[Discount]]</f>
        <v>2283.42</v>
      </c>
      <c r="M21">
        <f>Table1[[#This Row],[Sales]]-Table1[[#This Row],[dis]]</f>
        <v>9734.58</v>
      </c>
      <c r="N21">
        <v>0.19</v>
      </c>
      <c r="O21" t="s">
        <v>33</v>
      </c>
      <c r="P21" t="s">
        <v>73</v>
      </c>
    </row>
    <row r="22" spans="1:16">
      <c r="A22">
        <v>1021</v>
      </c>
      <c r="B22" s="30" t="s">
        <v>87</v>
      </c>
      <c r="C22" s="33">
        <f>MONTH(Table1[[#This Row],[Date]])</f>
        <v>3</v>
      </c>
      <c r="D22" t="s">
        <v>28</v>
      </c>
      <c r="E22" t="s">
        <v>36</v>
      </c>
      <c r="F22" t="s">
        <v>30</v>
      </c>
      <c r="G22" t="s">
        <v>31</v>
      </c>
      <c r="H22" t="s">
        <v>88</v>
      </c>
      <c r="I22">
        <v>2</v>
      </c>
      <c r="J22">
        <v>31751</v>
      </c>
      <c r="K22">
        <f>Table1[[#This Row],[Quantity]]*Table1[[#This Row],[Unit Price]]</f>
        <v>63502</v>
      </c>
      <c r="L22">
        <f>Table1[[#This Row],[Sales]]*Table1[[#This Row],[Discount]]</f>
        <v>4445.1400000000003</v>
      </c>
      <c r="M22">
        <f>Table1[[#This Row],[Sales]]-Table1[[#This Row],[dis]]</f>
        <v>59056.86</v>
      </c>
      <c r="N22">
        <v>7.0000000000000007E-2</v>
      </c>
      <c r="O22" t="s">
        <v>33</v>
      </c>
      <c r="P22" t="s">
        <v>26</v>
      </c>
    </row>
    <row r="23" spans="1:16">
      <c r="A23">
        <v>1022</v>
      </c>
      <c r="B23" s="30" t="s">
        <v>89</v>
      </c>
      <c r="C23" s="33">
        <f>MONTH(Table1[[#This Row],[Date]])</f>
        <v>8</v>
      </c>
      <c r="D23" t="s">
        <v>28</v>
      </c>
      <c r="E23" t="s">
        <v>46</v>
      </c>
      <c r="F23" t="s">
        <v>41</v>
      </c>
      <c r="G23" t="s">
        <v>42</v>
      </c>
      <c r="H23" t="s">
        <v>90</v>
      </c>
      <c r="I23">
        <v>10</v>
      </c>
      <c r="J23">
        <v>4062</v>
      </c>
      <c r="K23">
        <f>Table1[[#This Row],[Quantity]]*Table1[[#This Row],[Unit Price]]</f>
        <v>40620</v>
      </c>
      <c r="L23">
        <f>Table1[[#This Row],[Sales]]*Table1[[#This Row],[Discount]]</f>
        <v>4874.3999999999996</v>
      </c>
      <c r="M23">
        <f>Table1[[#This Row],[Sales]]-Table1[[#This Row],[dis]]</f>
        <v>35745.599999999999</v>
      </c>
      <c r="N23">
        <v>0.12</v>
      </c>
      <c r="O23" t="s">
        <v>18</v>
      </c>
      <c r="P23" t="s">
        <v>26</v>
      </c>
    </row>
    <row r="24" spans="1:16">
      <c r="A24">
        <v>1023</v>
      </c>
      <c r="B24" s="30" t="s">
        <v>91</v>
      </c>
      <c r="C24" s="33">
        <f>MONTH(Table1[[#This Row],[Date]])</f>
        <v>2</v>
      </c>
      <c r="D24" t="s">
        <v>28</v>
      </c>
      <c r="E24" t="s">
        <v>58</v>
      </c>
      <c r="F24" t="s">
        <v>15</v>
      </c>
      <c r="G24" t="s">
        <v>16</v>
      </c>
      <c r="H24" t="s">
        <v>17</v>
      </c>
      <c r="I24">
        <v>7</v>
      </c>
      <c r="J24">
        <v>22038</v>
      </c>
      <c r="K24">
        <f>Table1[[#This Row],[Quantity]]*Table1[[#This Row],[Unit Price]]</f>
        <v>154266</v>
      </c>
      <c r="L24">
        <f>Table1[[#This Row],[Sales]]*Table1[[#This Row],[Discount]]</f>
        <v>6170.64</v>
      </c>
      <c r="M24">
        <f>Table1[[#This Row],[Sales]]-Table1[[#This Row],[dis]]</f>
        <v>148095.35999999999</v>
      </c>
      <c r="N24">
        <v>0.04</v>
      </c>
      <c r="O24" t="s">
        <v>33</v>
      </c>
      <c r="P24" t="s">
        <v>39</v>
      </c>
    </row>
    <row r="25" spans="1:16">
      <c r="A25">
        <v>1024</v>
      </c>
      <c r="B25" s="30" t="s">
        <v>92</v>
      </c>
      <c r="C25" s="33">
        <f>MONTH(Table1[[#This Row],[Date]])</f>
        <v>8</v>
      </c>
      <c r="D25" t="s">
        <v>13</v>
      </c>
      <c r="E25" t="s">
        <v>93</v>
      </c>
      <c r="F25" t="s">
        <v>23</v>
      </c>
      <c r="G25" t="s">
        <v>24</v>
      </c>
      <c r="H25" t="s">
        <v>94</v>
      </c>
      <c r="I25">
        <v>9</v>
      </c>
      <c r="J25">
        <v>9591</v>
      </c>
      <c r="K25">
        <f>Table1[[#This Row],[Quantity]]*Table1[[#This Row],[Unit Price]]</f>
        <v>86319</v>
      </c>
      <c r="L25">
        <f>Table1[[#This Row],[Sales]]*Table1[[#This Row],[Discount]]</f>
        <v>6042.3300000000008</v>
      </c>
      <c r="M25">
        <f>Table1[[#This Row],[Sales]]-Table1[[#This Row],[dis]]</f>
        <v>80276.67</v>
      </c>
      <c r="N25">
        <v>7.0000000000000007E-2</v>
      </c>
      <c r="O25" t="s">
        <v>33</v>
      </c>
      <c r="P25" t="s">
        <v>19</v>
      </c>
    </row>
    <row r="26" spans="1:16">
      <c r="A26">
        <v>1025</v>
      </c>
      <c r="B26" s="30" t="s">
        <v>95</v>
      </c>
      <c r="C26" s="33">
        <f>MONTH(Table1[[#This Row],[Date]])</f>
        <v>5</v>
      </c>
      <c r="D26" t="s">
        <v>69</v>
      </c>
      <c r="E26" t="s">
        <v>70</v>
      </c>
      <c r="F26" t="s">
        <v>30</v>
      </c>
      <c r="G26" t="s">
        <v>55</v>
      </c>
      <c r="H26" t="s">
        <v>56</v>
      </c>
      <c r="I26">
        <v>2</v>
      </c>
      <c r="J26">
        <v>22073</v>
      </c>
      <c r="K26">
        <f>Table1[[#This Row],[Quantity]]*Table1[[#This Row],[Unit Price]]</f>
        <v>44146</v>
      </c>
      <c r="L26">
        <f>Table1[[#This Row],[Sales]]*Table1[[#This Row],[Discount]]</f>
        <v>2648.7599999999998</v>
      </c>
      <c r="M26">
        <f>Table1[[#This Row],[Sales]]-Table1[[#This Row],[dis]]</f>
        <v>41497.24</v>
      </c>
      <c r="N26">
        <v>0.06</v>
      </c>
      <c r="O26" t="s">
        <v>33</v>
      </c>
      <c r="P26" t="s">
        <v>19</v>
      </c>
    </row>
    <row r="27" spans="1:16">
      <c r="A27">
        <v>1026</v>
      </c>
      <c r="B27" s="30" t="s">
        <v>96</v>
      </c>
      <c r="C27" s="33">
        <f>MONTH(Table1[[#This Row],[Date]])</f>
        <v>12</v>
      </c>
      <c r="D27" t="s">
        <v>69</v>
      </c>
      <c r="E27" t="s">
        <v>72</v>
      </c>
      <c r="F27" t="s">
        <v>23</v>
      </c>
      <c r="G27" t="s">
        <v>37</v>
      </c>
      <c r="H27" t="s">
        <v>83</v>
      </c>
      <c r="I27">
        <v>1</v>
      </c>
      <c r="J27">
        <v>16541</v>
      </c>
      <c r="K27">
        <f>Table1[[#This Row],[Quantity]]*Table1[[#This Row],[Unit Price]]</f>
        <v>16541</v>
      </c>
      <c r="L27">
        <f>Table1[[#This Row],[Sales]]*Table1[[#This Row],[Discount]]</f>
        <v>2315.7400000000002</v>
      </c>
      <c r="M27">
        <f>Table1[[#This Row],[Sales]]-Table1[[#This Row],[dis]]</f>
        <v>14225.26</v>
      </c>
      <c r="N27">
        <v>0.14000000000000001</v>
      </c>
      <c r="O27" t="s">
        <v>33</v>
      </c>
      <c r="P27" t="s">
        <v>73</v>
      </c>
    </row>
    <row r="28" spans="1:16">
      <c r="A28">
        <v>1027</v>
      </c>
      <c r="B28" s="30" t="s">
        <v>97</v>
      </c>
      <c r="C28" s="33">
        <f>MONTH(Table1[[#This Row],[Date]])</f>
        <v>11</v>
      </c>
      <c r="D28" t="s">
        <v>28</v>
      </c>
      <c r="E28" t="s">
        <v>46</v>
      </c>
      <c r="F28" t="s">
        <v>23</v>
      </c>
      <c r="G28" t="s">
        <v>24</v>
      </c>
      <c r="H28" t="s">
        <v>98</v>
      </c>
      <c r="I28">
        <v>1</v>
      </c>
      <c r="J28">
        <v>257</v>
      </c>
      <c r="K28">
        <f>Table1[[#This Row],[Quantity]]*Table1[[#This Row],[Unit Price]]</f>
        <v>257</v>
      </c>
      <c r="L28">
        <f>Table1[[#This Row],[Sales]]*Table1[[#This Row],[Discount]]</f>
        <v>33.410000000000004</v>
      </c>
      <c r="M28">
        <f>Table1[[#This Row],[Sales]]-Table1[[#This Row],[dis]]</f>
        <v>223.59</v>
      </c>
      <c r="N28">
        <v>0.13</v>
      </c>
      <c r="O28" t="s">
        <v>18</v>
      </c>
      <c r="P28" t="s">
        <v>39</v>
      </c>
    </row>
    <row r="29" spans="1:16">
      <c r="A29">
        <v>1028</v>
      </c>
      <c r="B29" s="30" t="s">
        <v>99</v>
      </c>
      <c r="C29" s="33">
        <f>MONTH(Table1[[#This Row],[Date]])</f>
        <v>4</v>
      </c>
      <c r="D29" t="s">
        <v>13</v>
      </c>
      <c r="E29" t="s">
        <v>14</v>
      </c>
      <c r="F29" t="s">
        <v>15</v>
      </c>
      <c r="G29" t="s">
        <v>100</v>
      </c>
      <c r="H29" t="s">
        <v>101</v>
      </c>
      <c r="I29">
        <v>7</v>
      </c>
      <c r="J29">
        <v>38762</v>
      </c>
      <c r="K29">
        <f>Table1[[#This Row],[Quantity]]*Table1[[#This Row],[Unit Price]]</f>
        <v>271334</v>
      </c>
      <c r="L29">
        <f>Table1[[#This Row],[Sales]]*Table1[[#This Row],[Discount]]</f>
        <v>54266.8</v>
      </c>
      <c r="M29">
        <f>Table1[[#This Row],[Sales]]-Table1[[#This Row],[dis]]</f>
        <v>217067.2</v>
      </c>
      <c r="N29">
        <v>0.2</v>
      </c>
      <c r="O29" t="s">
        <v>33</v>
      </c>
      <c r="P29" t="s">
        <v>44</v>
      </c>
    </row>
    <row r="30" spans="1:16">
      <c r="A30">
        <v>1029</v>
      </c>
      <c r="B30" s="30" t="s">
        <v>102</v>
      </c>
      <c r="C30" s="33">
        <f>MONTH(Table1[[#This Row],[Date]])</f>
        <v>9</v>
      </c>
      <c r="D30" t="s">
        <v>69</v>
      </c>
      <c r="E30" t="s">
        <v>72</v>
      </c>
      <c r="F30" t="s">
        <v>41</v>
      </c>
      <c r="G30" t="s">
        <v>42</v>
      </c>
      <c r="H30" t="s">
        <v>43</v>
      </c>
      <c r="I30">
        <v>10</v>
      </c>
      <c r="J30">
        <v>4695</v>
      </c>
      <c r="K30">
        <f>Table1[[#This Row],[Quantity]]*Table1[[#This Row],[Unit Price]]</f>
        <v>46950</v>
      </c>
      <c r="L30">
        <f>Table1[[#This Row],[Sales]]*Table1[[#This Row],[Discount]]</f>
        <v>2347.5</v>
      </c>
      <c r="M30">
        <f>Table1[[#This Row],[Sales]]-Table1[[#This Row],[dis]]</f>
        <v>44602.5</v>
      </c>
      <c r="N30">
        <v>0.05</v>
      </c>
      <c r="O30" t="s">
        <v>33</v>
      </c>
      <c r="P30" t="s">
        <v>103</v>
      </c>
    </row>
    <row r="31" spans="1:16">
      <c r="A31">
        <v>1030</v>
      </c>
      <c r="B31" s="30" t="s">
        <v>104</v>
      </c>
      <c r="C31" s="33">
        <f>MONTH(Table1[[#This Row],[Date]])</f>
        <v>3</v>
      </c>
      <c r="D31" t="s">
        <v>69</v>
      </c>
      <c r="E31" t="s">
        <v>72</v>
      </c>
      <c r="F31" t="s">
        <v>23</v>
      </c>
      <c r="G31" t="s">
        <v>37</v>
      </c>
      <c r="H31" t="s">
        <v>83</v>
      </c>
      <c r="I31">
        <v>5</v>
      </c>
      <c r="J31">
        <v>20339</v>
      </c>
      <c r="K31">
        <f>Table1[[#This Row],[Quantity]]*Table1[[#This Row],[Unit Price]]</f>
        <v>101695</v>
      </c>
      <c r="L31">
        <f>Table1[[#This Row],[Sales]]*Table1[[#This Row],[Discount]]</f>
        <v>9152.5499999999993</v>
      </c>
      <c r="M31">
        <f>Table1[[#This Row],[Sales]]-Table1[[#This Row],[dis]]</f>
        <v>92542.45</v>
      </c>
      <c r="N31">
        <v>0.09</v>
      </c>
      <c r="O31" t="s">
        <v>18</v>
      </c>
      <c r="P31" t="s">
        <v>26</v>
      </c>
    </row>
    <row r="32" spans="1:16">
      <c r="A32">
        <v>1031</v>
      </c>
      <c r="B32" s="30" t="s">
        <v>105</v>
      </c>
      <c r="C32" s="33">
        <f>MONTH(Table1[[#This Row],[Date]])</f>
        <v>5</v>
      </c>
      <c r="D32" t="s">
        <v>13</v>
      </c>
      <c r="E32" t="s">
        <v>82</v>
      </c>
      <c r="F32" t="s">
        <v>41</v>
      </c>
      <c r="G32" t="s">
        <v>76</v>
      </c>
      <c r="H32" t="s">
        <v>106</v>
      </c>
      <c r="I32">
        <v>7</v>
      </c>
      <c r="J32">
        <v>32551</v>
      </c>
      <c r="K32">
        <f>Table1[[#This Row],[Quantity]]*Table1[[#This Row],[Unit Price]]</f>
        <v>227857</v>
      </c>
      <c r="L32">
        <f>Table1[[#This Row],[Sales]]*Table1[[#This Row],[Discount]]</f>
        <v>11392.85</v>
      </c>
      <c r="M32">
        <f>Table1[[#This Row],[Sales]]-Table1[[#This Row],[dis]]</f>
        <v>216464.15</v>
      </c>
      <c r="N32">
        <v>0.05</v>
      </c>
      <c r="O32" t="s">
        <v>33</v>
      </c>
      <c r="P32" t="s">
        <v>73</v>
      </c>
    </row>
    <row r="33" spans="1:16">
      <c r="A33">
        <v>1032</v>
      </c>
      <c r="B33" s="30" t="s">
        <v>107</v>
      </c>
      <c r="C33" s="33">
        <f>MONTH(Table1[[#This Row],[Date]])</f>
        <v>5</v>
      </c>
      <c r="D33" t="s">
        <v>28</v>
      </c>
      <c r="E33" t="s">
        <v>46</v>
      </c>
      <c r="F33" t="s">
        <v>15</v>
      </c>
      <c r="G33" t="s">
        <v>16</v>
      </c>
      <c r="H33" t="s">
        <v>53</v>
      </c>
      <c r="I33">
        <v>5</v>
      </c>
      <c r="J33">
        <v>13811</v>
      </c>
      <c r="K33">
        <f>Table1[[#This Row],[Quantity]]*Table1[[#This Row],[Unit Price]]</f>
        <v>69055</v>
      </c>
      <c r="L33">
        <f>Table1[[#This Row],[Sales]]*Table1[[#This Row],[Discount]]</f>
        <v>10358.25</v>
      </c>
      <c r="M33">
        <f>Table1[[#This Row],[Sales]]-Table1[[#This Row],[dis]]</f>
        <v>58696.75</v>
      </c>
      <c r="N33">
        <v>0.15</v>
      </c>
      <c r="O33" t="s">
        <v>18</v>
      </c>
      <c r="P33" t="s">
        <v>63</v>
      </c>
    </row>
    <row r="34" spans="1:16">
      <c r="A34">
        <v>1033</v>
      </c>
      <c r="B34" s="30" t="s">
        <v>108</v>
      </c>
      <c r="C34" s="33">
        <f>MONTH(Table1[[#This Row],[Date]])</f>
        <v>7</v>
      </c>
      <c r="D34" t="s">
        <v>13</v>
      </c>
      <c r="E34" t="s">
        <v>82</v>
      </c>
      <c r="F34" t="s">
        <v>30</v>
      </c>
      <c r="G34" t="s">
        <v>31</v>
      </c>
      <c r="H34" t="s">
        <v>109</v>
      </c>
      <c r="I34">
        <v>10</v>
      </c>
      <c r="J34">
        <v>27338</v>
      </c>
      <c r="K34">
        <f>Table1[[#This Row],[Quantity]]*Table1[[#This Row],[Unit Price]]</f>
        <v>273380</v>
      </c>
      <c r="L34">
        <f>Table1[[#This Row],[Sales]]*Table1[[#This Row],[Discount]]</f>
        <v>38273.200000000004</v>
      </c>
      <c r="M34">
        <f>Table1[[#This Row],[Sales]]-Table1[[#This Row],[dis]]</f>
        <v>235106.8</v>
      </c>
      <c r="N34">
        <v>0.14000000000000001</v>
      </c>
      <c r="O34" t="s">
        <v>33</v>
      </c>
      <c r="P34" t="s">
        <v>39</v>
      </c>
    </row>
    <row r="35" spans="1:16">
      <c r="A35">
        <v>1034</v>
      </c>
      <c r="B35" s="30" t="s">
        <v>110</v>
      </c>
      <c r="C35" s="33">
        <f>MONTH(Table1[[#This Row],[Date]])</f>
        <v>1</v>
      </c>
      <c r="D35" t="s">
        <v>69</v>
      </c>
      <c r="E35" t="s">
        <v>111</v>
      </c>
      <c r="F35" t="s">
        <v>30</v>
      </c>
      <c r="G35" t="s">
        <v>55</v>
      </c>
      <c r="H35" t="s">
        <v>112</v>
      </c>
      <c r="I35">
        <v>5</v>
      </c>
      <c r="J35">
        <v>26796</v>
      </c>
      <c r="K35">
        <f>Table1[[#This Row],[Quantity]]*Table1[[#This Row],[Unit Price]]</f>
        <v>133980</v>
      </c>
      <c r="L35">
        <f>Table1[[#This Row],[Sales]]*Table1[[#This Row],[Discount]]</f>
        <v>4019.3999999999996</v>
      </c>
      <c r="M35">
        <f>Table1[[#This Row],[Sales]]-Table1[[#This Row],[dis]]</f>
        <v>129960.6</v>
      </c>
      <c r="N35">
        <v>0.03</v>
      </c>
      <c r="O35" t="s">
        <v>18</v>
      </c>
      <c r="P35" t="s">
        <v>73</v>
      </c>
    </row>
    <row r="36" spans="1:16">
      <c r="A36">
        <v>1035</v>
      </c>
      <c r="B36" s="30" t="s">
        <v>113</v>
      </c>
      <c r="C36" s="33">
        <f>MONTH(Table1[[#This Row],[Date]])</f>
        <v>2</v>
      </c>
      <c r="D36" t="s">
        <v>21</v>
      </c>
      <c r="E36" t="s">
        <v>114</v>
      </c>
      <c r="F36" t="s">
        <v>41</v>
      </c>
      <c r="G36" t="s">
        <v>115</v>
      </c>
      <c r="H36" t="s">
        <v>116</v>
      </c>
      <c r="I36">
        <v>5</v>
      </c>
      <c r="J36">
        <v>42606</v>
      </c>
      <c r="K36">
        <f>Table1[[#This Row],[Quantity]]*Table1[[#This Row],[Unit Price]]</f>
        <v>213030</v>
      </c>
      <c r="L36">
        <f>Table1[[#This Row],[Sales]]*Table1[[#This Row],[Discount]]</f>
        <v>8521.2000000000007</v>
      </c>
      <c r="M36">
        <f>Table1[[#This Row],[Sales]]-Table1[[#This Row],[dis]]</f>
        <v>204508.79999999999</v>
      </c>
      <c r="N36">
        <v>0.04</v>
      </c>
      <c r="O36" t="s">
        <v>33</v>
      </c>
      <c r="P36" t="s">
        <v>103</v>
      </c>
    </row>
    <row r="37" spans="1:16">
      <c r="A37">
        <v>1036</v>
      </c>
      <c r="B37" s="30" t="s">
        <v>117</v>
      </c>
      <c r="C37" s="33">
        <f>MONTH(Table1[[#This Row],[Date]])</f>
        <v>5</v>
      </c>
      <c r="D37" t="s">
        <v>28</v>
      </c>
      <c r="E37" t="s">
        <v>46</v>
      </c>
      <c r="F37" t="s">
        <v>15</v>
      </c>
      <c r="G37" t="s">
        <v>85</v>
      </c>
      <c r="H37" t="s">
        <v>118</v>
      </c>
      <c r="I37">
        <v>4</v>
      </c>
      <c r="J37">
        <v>24249</v>
      </c>
      <c r="K37">
        <f>Table1[[#This Row],[Quantity]]*Table1[[#This Row],[Unit Price]]</f>
        <v>96996</v>
      </c>
      <c r="L37">
        <f>Table1[[#This Row],[Sales]]*Table1[[#This Row],[Discount]]</f>
        <v>18429.240000000002</v>
      </c>
      <c r="M37">
        <f>Table1[[#This Row],[Sales]]-Table1[[#This Row],[dis]]</f>
        <v>78566.759999999995</v>
      </c>
      <c r="N37">
        <v>0.19</v>
      </c>
      <c r="O37" t="s">
        <v>33</v>
      </c>
      <c r="P37" t="s">
        <v>26</v>
      </c>
    </row>
    <row r="38" spans="1:16">
      <c r="A38">
        <v>1037</v>
      </c>
      <c r="B38" s="30" t="s">
        <v>119</v>
      </c>
      <c r="C38" s="33">
        <f>MONTH(Table1[[#This Row],[Date]])</f>
        <v>5</v>
      </c>
      <c r="D38" t="s">
        <v>28</v>
      </c>
      <c r="E38" t="s">
        <v>36</v>
      </c>
      <c r="F38" t="s">
        <v>15</v>
      </c>
      <c r="G38" t="s">
        <v>50</v>
      </c>
      <c r="H38" t="s">
        <v>120</v>
      </c>
      <c r="I38">
        <v>7</v>
      </c>
      <c r="J38">
        <v>11215</v>
      </c>
      <c r="K38">
        <f>Table1[[#This Row],[Quantity]]*Table1[[#This Row],[Unit Price]]</f>
        <v>78505</v>
      </c>
      <c r="L38">
        <f>Table1[[#This Row],[Sales]]*Table1[[#This Row],[Discount]]</f>
        <v>12560.800000000001</v>
      </c>
      <c r="M38">
        <f>Table1[[#This Row],[Sales]]-Table1[[#This Row],[dis]]</f>
        <v>65944.2</v>
      </c>
      <c r="N38">
        <v>0.16</v>
      </c>
      <c r="O38" t="s">
        <v>18</v>
      </c>
      <c r="P38" t="s">
        <v>103</v>
      </c>
    </row>
    <row r="39" spans="1:16">
      <c r="A39">
        <v>1038</v>
      </c>
      <c r="B39" s="30" t="s">
        <v>121</v>
      </c>
      <c r="C39" s="33">
        <f>MONTH(Table1[[#This Row],[Date]])</f>
        <v>7</v>
      </c>
      <c r="D39" t="s">
        <v>28</v>
      </c>
      <c r="E39" t="s">
        <v>29</v>
      </c>
      <c r="F39" t="s">
        <v>41</v>
      </c>
      <c r="G39" t="s">
        <v>115</v>
      </c>
      <c r="H39" t="s">
        <v>116</v>
      </c>
      <c r="I39">
        <v>8</v>
      </c>
      <c r="J39">
        <v>43581</v>
      </c>
      <c r="K39">
        <f>Table1[[#This Row],[Quantity]]*Table1[[#This Row],[Unit Price]]</f>
        <v>348648</v>
      </c>
      <c r="L39">
        <f>Table1[[#This Row],[Sales]]*Table1[[#This Row],[Discount]]</f>
        <v>34864.800000000003</v>
      </c>
      <c r="M39">
        <f>Table1[[#This Row],[Sales]]-Table1[[#This Row],[dis]]</f>
        <v>313783.2</v>
      </c>
      <c r="N39">
        <v>0.1</v>
      </c>
      <c r="O39" t="s">
        <v>33</v>
      </c>
      <c r="P39" t="s">
        <v>26</v>
      </c>
    </row>
    <row r="40" spans="1:16">
      <c r="A40">
        <v>1039</v>
      </c>
      <c r="B40" s="30" t="s">
        <v>122</v>
      </c>
      <c r="C40" s="33">
        <f>MONTH(Table1[[#This Row],[Date]])</f>
        <v>5</v>
      </c>
      <c r="D40" t="s">
        <v>28</v>
      </c>
      <c r="E40" t="s">
        <v>36</v>
      </c>
      <c r="F40" t="s">
        <v>41</v>
      </c>
      <c r="G40" t="s">
        <v>76</v>
      </c>
      <c r="H40" t="s">
        <v>123</v>
      </c>
      <c r="I40">
        <v>1</v>
      </c>
      <c r="J40">
        <v>13098</v>
      </c>
      <c r="K40">
        <f>Table1[[#This Row],[Quantity]]*Table1[[#This Row],[Unit Price]]</f>
        <v>13098</v>
      </c>
      <c r="L40">
        <f>Table1[[#This Row],[Sales]]*Table1[[#This Row],[Discount]]</f>
        <v>130.97999999999999</v>
      </c>
      <c r="M40">
        <f>Table1[[#This Row],[Sales]]-Table1[[#This Row],[dis]]</f>
        <v>12967.02</v>
      </c>
      <c r="N40">
        <v>0.01</v>
      </c>
      <c r="O40" t="s">
        <v>33</v>
      </c>
      <c r="P40" t="s">
        <v>26</v>
      </c>
    </row>
    <row r="41" spans="1:16">
      <c r="A41">
        <v>1040</v>
      </c>
      <c r="B41" s="30" t="s">
        <v>124</v>
      </c>
      <c r="C41" s="33">
        <f>MONTH(Table1[[#This Row],[Date]])</f>
        <v>7</v>
      </c>
      <c r="D41" t="s">
        <v>13</v>
      </c>
      <c r="E41" t="s">
        <v>82</v>
      </c>
      <c r="F41" t="s">
        <v>23</v>
      </c>
      <c r="G41" t="s">
        <v>37</v>
      </c>
      <c r="H41" t="s">
        <v>83</v>
      </c>
      <c r="I41">
        <v>7</v>
      </c>
      <c r="J41">
        <v>14708</v>
      </c>
      <c r="K41">
        <f>Table1[[#This Row],[Quantity]]*Table1[[#This Row],[Unit Price]]</f>
        <v>102956</v>
      </c>
      <c r="L41">
        <f>Table1[[#This Row],[Sales]]*Table1[[#This Row],[Discount]]</f>
        <v>5147.8</v>
      </c>
      <c r="M41">
        <f>Table1[[#This Row],[Sales]]-Table1[[#This Row],[dis]]</f>
        <v>97808.2</v>
      </c>
      <c r="N41">
        <v>0.05</v>
      </c>
      <c r="O41" t="s">
        <v>33</v>
      </c>
      <c r="P41" t="s">
        <v>73</v>
      </c>
    </row>
    <row r="42" spans="1:16">
      <c r="A42">
        <v>1041</v>
      </c>
      <c r="B42" s="30" t="s">
        <v>125</v>
      </c>
      <c r="C42" s="33">
        <f>MONTH(Table1[[#This Row],[Date]])</f>
        <v>2</v>
      </c>
      <c r="D42" t="s">
        <v>21</v>
      </c>
      <c r="E42" t="s">
        <v>80</v>
      </c>
      <c r="F42" t="s">
        <v>15</v>
      </c>
      <c r="G42" t="s">
        <v>50</v>
      </c>
      <c r="H42" t="s">
        <v>126</v>
      </c>
      <c r="I42">
        <v>5</v>
      </c>
      <c r="J42">
        <v>22400</v>
      </c>
      <c r="K42">
        <f>Table1[[#This Row],[Quantity]]*Table1[[#This Row],[Unit Price]]</f>
        <v>112000</v>
      </c>
      <c r="L42">
        <f>Table1[[#This Row],[Sales]]*Table1[[#This Row],[Discount]]</f>
        <v>8960</v>
      </c>
      <c r="M42">
        <f>Table1[[#This Row],[Sales]]-Table1[[#This Row],[dis]]</f>
        <v>103040</v>
      </c>
      <c r="N42">
        <v>0.08</v>
      </c>
      <c r="O42" t="s">
        <v>33</v>
      </c>
      <c r="P42" t="s">
        <v>103</v>
      </c>
    </row>
    <row r="43" spans="1:16">
      <c r="A43">
        <v>1042</v>
      </c>
      <c r="B43" s="30" t="s">
        <v>108</v>
      </c>
      <c r="C43" s="33">
        <f>MONTH(Table1[[#This Row],[Date]])</f>
        <v>7</v>
      </c>
      <c r="D43" t="s">
        <v>28</v>
      </c>
      <c r="E43" t="s">
        <v>46</v>
      </c>
      <c r="F43" t="s">
        <v>15</v>
      </c>
      <c r="G43" t="s">
        <v>16</v>
      </c>
      <c r="H43" t="s">
        <v>127</v>
      </c>
      <c r="I43">
        <v>4</v>
      </c>
      <c r="J43">
        <v>33812</v>
      </c>
      <c r="K43">
        <f>Table1[[#This Row],[Quantity]]*Table1[[#This Row],[Unit Price]]</f>
        <v>135248</v>
      </c>
      <c r="L43">
        <f>Table1[[#This Row],[Sales]]*Table1[[#This Row],[Discount]]</f>
        <v>9467.36</v>
      </c>
      <c r="M43">
        <f>Table1[[#This Row],[Sales]]-Table1[[#This Row],[dis]]</f>
        <v>125780.64</v>
      </c>
      <c r="N43">
        <v>7.0000000000000007E-2</v>
      </c>
      <c r="O43" t="s">
        <v>33</v>
      </c>
      <c r="P43" t="s">
        <v>26</v>
      </c>
    </row>
    <row r="44" spans="1:16">
      <c r="A44">
        <v>1043</v>
      </c>
      <c r="B44" s="30" t="s">
        <v>128</v>
      </c>
      <c r="C44" s="33">
        <f>MONTH(Table1[[#This Row],[Date]])</f>
        <v>7</v>
      </c>
      <c r="D44" t="s">
        <v>13</v>
      </c>
      <c r="E44" t="s">
        <v>82</v>
      </c>
      <c r="F44" t="s">
        <v>41</v>
      </c>
      <c r="G44" t="s">
        <v>47</v>
      </c>
      <c r="H44" t="s">
        <v>129</v>
      </c>
      <c r="I44">
        <v>9</v>
      </c>
      <c r="J44">
        <v>21386</v>
      </c>
      <c r="K44">
        <f>Table1[[#This Row],[Quantity]]*Table1[[#This Row],[Unit Price]]</f>
        <v>192474</v>
      </c>
      <c r="L44">
        <f>Table1[[#This Row],[Sales]]*Table1[[#This Row],[Discount]]</f>
        <v>0</v>
      </c>
      <c r="M44">
        <f>Table1[[#This Row],[Sales]]-Table1[[#This Row],[dis]]</f>
        <v>192474</v>
      </c>
      <c r="N44">
        <v>0</v>
      </c>
      <c r="O44" t="s">
        <v>18</v>
      </c>
      <c r="P44" t="s">
        <v>19</v>
      </c>
    </row>
    <row r="45" spans="1:16">
      <c r="A45">
        <v>1044</v>
      </c>
      <c r="B45" s="30" t="s">
        <v>130</v>
      </c>
      <c r="C45" s="33">
        <f>MONTH(Table1[[#This Row],[Date]])</f>
        <v>3</v>
      </c>
      <c r="D45" t="s">
        <v>21</v>
      </c>
      <c r="E45" t="s">
        <v>60</v>
      </c>
      <c r="F45" t="s">
        <v>23</v>
      </c>
      <c r="G45" t="s">
        <v>131</v>
      </c>
      <c r="H45" t="s">
        <v>132</v>
      </c>
      <c r="I45">
        <v>7</v>
      </c>
      <c r="J45">
        <v>17887</v>
      </c>
      <c r="K45">
        <f>Table1[[#This Row],[Quantity]]*Table1[[#This Row],[Unit Price]]</f>
        <v>125209</v>
      </c>
      <c r="L45">
        <f>Table1[[#This Row],[Sales]]*Table1[[#This Row],[Discount]]</f>
        <v>15025.08</v>
      </c>
      <c r="M45">
        <f>Table1[[#This Row],[Sales]]-Table1[[#This Row],[dis]]</f>
        <v>110183.92</v>
      </c>
      <c r="N45">
        <v>0.12</v>
      </c>
      <c r="O45" t="s">
        <v>18</v>
      </c>
      <c r="P45" t="s">
        <v>39</v>
      </c>
    </row>
    <row r="46" spans="1:16">
      <c r="A46">
        <v>1045</v>
      </c>
      <c r="B46" s="30" t="s">
        <v>133</v>
      </c>
      <c r="C46" s="33">
        <f>MONTH(Table1[[#This Row],[Date]])</f>
        <v>5</v>
      </c>
      <c r="D46" t="s">
        <v>69</v>
      </c>
      <c r="E46" t="s">
        <v>72</v>
      </c>
      <c r="F46" t="s">
        <v>41</v>
      </c>
      <c r="G46" t="s">
        <v>76</v>
      </c>
      <c r="H46" t="s">
        <v>77</v>
      </c>
      <c r="I46">
        <v>1</v>
      </c>
      <c r="J46">
        <v>27770</v>
      </c>
      <c r="K46">
        <f>Table1[[#This Row],[Quantity]]*Table1[[#This Row],[Unit Price]]</f>
        <v>27770</v>
      </c>
      <c r="L46">
        <f>Table1[[#This Row],[Sales]]*Table1[[#This Row],[Discount]]</f>
        <v>3610.1</v>
      </c>
      <c r="M46">
        <f>Table1[[#This Row],[Sales]]-Table1[[#This Row],[dis]]</f>
        <v>24159.9</v>
      </c>
      <c r="N46">
        <v>0.13</v>
      </c>
      <c r="O46" t="s">
        <v>18</v>
      </c>
      <c r="P46" t="s">
        <v>63</v>
      </c>
    </row>
    <row r="47" spans="1:16">
      <c r="A47">
        <v>1046</v>
      </c>
      <c r="B47" s="30" t="s">
        <v>134</v>
      </c>
      <c r="C47" s="33">
        <f>MONTH(Table1[[#This Row],[Date]])</f>
        <v>3</v>
      </c>
      <c r="D47" t="s">
        <v>28</v>
      </c>
      <c r="E47" t="s">
        <v>46</v>
      </c>
      <c r="F47" t="s">
        <v>41</v>
      </c>
      <c r="G47" t="s">
        <v>47</v>
      </c>
      <c r="H47" t="s">
        <v>135</v>
      </c>
      <c r="I47">
        <v>6</v>
      </c>
      <c r="J47">
        <v>29196</v>
      </c>
      <c r="K47">
        <f>Table1[[#This Row],[Quantity]]*Table1[[#This Row],[Unit Price]]</f>
        <v>175176</v>
      </c>
      <c r="L47">
        <f>Table1[[#This Row],[Sales]]*Table1[[#This Row],[Discount]]</f>
        <v>33283.440000000002</v>
      </c>
      <c r="M47">
        <f>Table1[[#This Row],[Sales]]-Table1[[#This Row],[dis]]</f>
        <v>141892.56</v>
      </c>
      <c r="N47">
        <v>0.19</v>
      </c>
      <c r="O47" t="s">
        <v>18</v>
      </c>
      <c r="P47" t="s">
        <v>63</v>
      </c>
    </row>
    <row r="48" spans="1:16">
      <c r="A48">
        <v>1047</v>
      </c>
      <c r="B48" s="30" t="s">
        <v>136</v>
      </c>
      <c r="C48" s="33">
        <f>MONTH(Table1[[#This Row],[Date]])</f>
        <v>12</v>
      </c>
      <c r="D48" t="s">
        <v>21</v>
      </c>
      <c r="E48" t="s">
        <v>22</v>
      </c>
      <c r="F48" t="s">
        <v>15</v>
      </c>
      <c r="G48" t="s">
        <v>100</v>
      </c>
      <c r="H48" t="s">
        <v>101</v>
      </c>
      <c r="I48">
        <v>4</v>
      </c>
      <c r="J48">
        <v>43748</v>
      </c>
      <c r="K48">
        <f>Table1[[#This Row],[Quantity]]*Table1[[#This Row],[Unit Price]]</f>
        <v>174992</v>
      </c>
      <c r="L48">
        <f>Table1[[#This Row],[Sales]]*Table1[[#This Row],[Discount]]</f>
        <v>10499.52</v>
      </c>
      <c r="M48">
        <f>Table1[[#This Row],[Sales]]-Table1[[#This Row],[dis]]</f>
        <v>164492.48000000001</v>
      </c>
      <c r="N48">
        <v>0.06</v>
      </c>
      <c r="O48" t="s">
        <v>33</v>
      </c>
      <c r="P48" t="s">
        <v>26</v>
      </c>
    </row>
    <row r="49" spans="1:16">
      <c r="A49">
        <v>1048</v>
      </c>
      <c r="B49" s="30" t="s">
        <v>137</v>
      </c>
      <c r="C49" s="33">
        <f>MONTH(Table1[[#This Row],[Date]])</f>
        <v>1</v>
      </c>
      <c r="D49" t="s">
        <v>21</v>
      </c>
      <c r="E49" t="s">
        <v>80</v>
      </c>
      <c r="F49" t="s">
        <v>41</v>
      </c>
      <c r="G49" t="s">
        <v>42</v>
      </c>
      <c r="H49" t="s">
        <v>43</v>
      </c>
      <c r="I49">
        <v>6</v>
      </c>
      <c r="J49">
        <v>6641</v>
      </c>
      <c r="K49">
        <f>Table1[[#This Row],[Quantity]]*Table1[[#This Row],[Unit Price]]</f>
        <v>39846</v>
      </c>
      <c r="L49">
        <f>Table1[[#This Row],[Sales]]*Table1[[#This Row],[Discount]]</f>
        <v>3984.6000000000004</v>
      </c>
      <c r="M49">
        <f>Table1[[#This Row],[Sales]]-Table1[[#This Row],[dis]]</f>
        <v>35861.4</v>
      </c>
      <c r="N49">
        <v>0.1</v>
      </c>
      <c r="O49" t="s">
        <v>33</v>
      </c>
      <c r="P49" t="s">
        <v>19</v>
      </c>
    </row>
    <row r="50" spans="1:16">
      <c r="A50">
        <v>1049</v>
      </c>
      <c r="B50" s="30" t="s">
        <v>138</v>
      </c>
      <c r="C50" s="33">
        <f>MONTH(Table1[[#This Row],[Date]])</f>
        <v>8</v>
      </c>
      <c r="D50" t="s">
        <v>21</v>
      </c>
      <c r="E50" t="s">
        <v>114</v>
      </c>
      <c r="F50" t="s">
        <v>23</v>
      </c>
      <c r="G50" t="s">
        <v>24</v>
      </c>
      <c r="H50" t="s">
        <v>25</v>
      </c>
      <c r="I50">
        <v>6</v>
      </c>
      <c r="J50">
        <v>35223</v>
      </c>
      <c r="K50">
        <f>Table1[[#This Row],[Quantity]]*Table1[[#This Row],[Unit Price]]</f>
        <v>211338</v>
      </c>
      <c r="L50">
        <f>Table1[[#This Row],[Sales]]*Table1[[#This Row],[Discount]]</f>
        <v>23247.18</v>
      </c>
      <c r="M50">
        <f>Table1[[#This Row],[Sales]]-Table1[[#This Row],[dis]]</f>
        <v>188090.82</v>
      </c>
      <c r="N50">
        <v>0.11</v>
      </c>
      <c r="O50" t="s">
        <v>33</v>
      </c>
      <c r="P50" t="s">
        <v>63</v>
      </c>
    </row>
    <row r="51" spans="1:16">
      <c r="A51">
        <v>1050</v>
      </c>
      <c r="B51" s="30" t="s">
        <v>139</v>
      </c>
      <c r="C51" s="33">
        <f>MONTH(Table1[[#This Row],[Date]])</f>
        <v>6</v>
      </c>
      <c r="D51" t="s">
        <v>69</v>
      </c>
      <c r="E51" t="s">
        <v>111</v>
      </c>
      <c r="F51" t="s">
        <v>41</v>
      </c>
      <c r="G51" t="s">
        <v>42</v>
      </c>
      <c r="H51" t="s">
        <v>90</v>
      </c>
      <c r="I51">
        <v>1</v>
      </c>
      <c r="J51">
        <v>25754</v>
      </c>
      <c r="K51">
        <f>Table1[[#This Row],[Quantity]]*Table1[[#This Row],[Unit Price]]</f>
        <v>25754</v>
      </c>
      <c r="L51">
        <f>Table1[[#This Row],[Sales]]*Table1[[#This Row],[Discount]]</f>
        <v>0</v>
      </c>
      <c r="M51">
        <f>Table1[[#This Row],[Sales]]-Table1[[#This Row],[dis]]</f>
        <v>25754</v>
      </c>
      <c r="N51">
        <v>0</v>
      </c>
      <c r="O51" t="s">
        <v>33</v>
      </c>
      <c r="P51" t="s">
        <v>19</v>
      </c>
    </row>
    <row r="52" spans="1:16">
      <c r="A52">
        <v>1051</v>
      </c>
      <c r="B52" s="30" t="s">
        <v>140</v>
      </c>
      <c r="C52" s="33">
        <f>MONTH(Table1[[#This Row],[Date]])</f>
        <v>2</v>
      </c>
      <c r="D52" t="s">
        <v>13</v>
      </c>
      <c r="E52" t="s">
        <v>141</v>
      </c>
      <c r="F52" t="s">
        <v>30</v>
      </c>
      <c r="G52" t="s">
        <v>66</v>
      </c>
      <c r="H52" t="s">
        <v>142</v>
      </c>
      <c r="I52">
        <v>3</v>
      </c>
      <c r="J52">
        <v>13236</v>
      </c>
      <c r="K52">
        <f>Table1[[#This Row],[Quantity]]*Table1[[#This Row],[Unit Price]]</f>
        <v>39708</v>
      </c>
      <c r="L52">
        <f>Table1[[#This Row],[Sales]]*Table1[[#This Row],[Discount]]</f>
        <v>3176.64</v>
      </c>
      <c r="M52">
        <f>Table1[[#This Row],[Sales]]-Table1[[#This Row],[dis]]</f>
        <v>36531.360000000001</v>
      </c>
      <c r="N52">
        <v>0.08</v>
      </c>
      <c r="O52" t="s">
        <v>33</v>
      </c>
      <c r="P52" t="s">
        <v>39</v>
      </c>
    </row>
    <row r="53" spans="1:16">
      <c r="A53">
        <v>1052</v>
      </c>
      <c r="B53" s="30" t="s">
        <v>143</v>
      </c>
      <c r="C53" s="33">
        <f>MONTH(Table1[[#This Row],[Date]])</f>
        <v>4</v>
      </c>
      <c r="D53" t="s">
        <v>28</v>
      </c>
      <c r="E53" t="s">
        <v>46</v>
      </c>
      <c r="F53" t="s">
        <v>30</v>
      </c>
      <c r="G53" t="s">
        <v>66</v>
      </c>
      <c r="H53" t="s">
        <v>142</v>
      </c>
      <c r="I53">
        <v>8</v>
      </c>
      <c r="J53">
        <v>29235</v>
      </c>
      <c r="K53">
        <f>Table1[[#This Row],[Quantity]]*Table1[[#This Row],[Unit Price]]</f>
        <v>233880</v>
      </c>
      <c r="L53">
        <f>Table1[[#This Row],[Sales]]*Table1[[#This Row],[Discount]]</f>
        <v>37420.800000000003</v>
      </c>
      <c r="M53">
        <f>Table1[[#This Row],[Sales]]-Table1[[#This Row],[dis]]</f>
        <v>196459.2</v>
      </c>
      <c r="N53">
        <v>0.16</v>
      </c>
      <c r="O53" t="s">
        <v>33</v>
      </c>
      <c r="P53" t="s">
        <v>34</v>
      </c>
    </row>
    <row r="54" spans="1:16">
      <c r="A54">
        <v>1053</v>
      </c>
      <c r="B54" s="30" t="s">
        <v>144</v>
      </c>
      <c r="C54" s="33">
        <f>MONTH(Table1[[#This Row],[Date]])</f>
        <v>7</v>
      </c>
      <c r="D54" t="s">
        <v>21</v>
      </c>
      <c r="E54" t="s">
        <v>80</v>
      </c>
      <c r="F54" t="s">
        <v>15</v>
      </c>
      <c r="G54" t="s">
        <v>50</v>
      </c>
      <c r="H54" t="s">
        <v>51</v>
      </c>
      <c r="I54">
        <v>2</v>
      </c>
      <c r="J54">
        <v>46771</v>
      </c>
      <c r="K54">
        <f>Table1[[#This Row],[Quantity]]*Table1[[#This Row],[Unit Price]]</f>
        <v>93542</v>
      </c>
      <c r="L54">
        <f>Table1[[#This Row],[Sales]]*Table1[[#This Row],[Discount]]</f>
        <v>1870.8400000000001</v>
      </c>
      <c r="M54">
        <f>Table1[[#This Row],[Sales]]-Table1[[#This Row],[dis]]</f>
        <v>91671.16</v>
      </c>
      <c r="N54">
        <v>0.02</v>
      </c>
      <c r="O54" t="s">
        <v>33</v>
      </c>
      <c r="P54" t="s">
        <v>26</v>
      </c>
    </row>
    <row r="55" spans="1:16">
      <c r="A55">
        <v>1054</v>
      </c>
      <c r="B55" s="30" t="s">
        <v>145</v>
      </c>
      <c r="C55" s="33">
        <f>MONTH(Table1[[#This Row],[Date]])</f>
        <v>10</v>
      </c>
      <c r="D55" t="s">
        <v>28</v>
      </c>
      <c r="E55" t="s">
        <v>58</v>
      </c>
      <c r="F55" t="s">
        <v>15</v>
      </c>
      <c r="G55" t="s">
        <v>50</v>
      </c>
      <c r="H55" t="s">
        <v>126</v>
      </c>
      <c r="I55">
        <v>10</v>
      </c>
      <c r="J55">
        <v>46646</v>
      </c>
      <c r="K55">
        <f>Table1[[#This Row],[Quantity]]*Table1[[#This Row],[Unit Price]]</f>
        <v>466460</v>
      </c>
      <c r="L55">
        <f>Table1[[#This Row],[Sales]]*Table1[[#This Row],[Discount]]</f>
        <v>60639.8</v>
      </c>
      <c r="M55">
        <f>Table1[[#This Row],[Sales]]-Table1[[#This Row],[dis]]</f>
        <v>405820.2</v>
      </c>
      <c r="N55">
        <v>0.13</v>
      </c>
      <c r="O55" t="s">
        <v>33</v>
      </c>
      <c r="P55" t="s">
        <v>103</v>
      </c>
    </row>
    <row r="56" spans="1:16">
      <c r="A56">
        <v>1055</v>
      </c>
      <c r="B56" s="30" t="s">
        <v>146</v>
      </c>
      <c r="C56" s="33">
        <f>MONTH(Table1[[#This Row],[Date]])</f>
        <v>1</v>
      </c>
      <c r="D56" t="s">
        <v>69</v>
      </c>
      <c r="E56" t="s">
        <v>111</v>
      </c>
      <c r="F56" t="s">
        <v>30</v>
      </c>
      <c r="G56" t="s">
        <v>31</v>
      </c>
      <c r="H56" t="s">
        <v>88</v>
      </c>
      <c r="I56">
        <v>2</v>
      </c>
      <c r="J56">
        <v>34702</v>
      </c>
      <c r="K56">
        <f>Table1[[#This Row],[Quantity]]*Table1[[#This Row],[Unit Price]]</f>
        <v>69404</v>
      </c>
      <c r="L56">
        <f>Table1[[#This Row],[Sales]]*Table1[[#This Row],[Discount]]</f>
        <v>10410.6</v>
      </c>
      <c r="M56">
        <f>Table1[[#This Row],[Sales]]-Table1[[#This Row],[dis]]</f>
        <v>58993.4</v>
      </c>
      <c r="N56">
        <v>0.15</v>
      </c>
      <c r="O56" t="s">
        <v>18</v>
      </c>
      <c r="P56" t="s">
        <v>103</v>
      </c>
    </row>
    <row r="57" spans="1:16">
      <c r="A57">
        <v>1056</v>
      </c>
      <c r="B57" s="30" t="s">
        <v>147</v>
      </c>
      <c r="C57" s="33">
        <f>MONTH(Table1[[#This Row],[Date]])</f>
        <v>6</v>
      </c>
      <c r="D57" t="s">
        <v>28</v>
      </c>
      <c r="E57" t="s">
        <v>58</v>
      </c>
      <c r="F57" t="s">
        <v>15</v>
      </c>
      <c r="G57" t="s">
        <v>100</v>
      </c>
      <c r="H57" t="s">
        <v>101</v>
      </c>
      <c r="I57">
        <v>7</v>
      </c>
      <c r="J57">
        <v>811</v>
      </c>
      <c r="K57">
        <f>Table1[[#This Row],[Quantity]]*Table1[[#This Row],[Unit Price]]</f>
        <v>5677</v>
      </c>
      <c r="L57">
        <f>Table1[[#This Row],[Sales]]*Table1[[#This Row],[Discount]]</f>
        <v>965.09</v>
      </c>
      <c r="M57">
        <f>Table1[[#This Row],[Sales]]-Table1[[#This Row],[dis]]</f>
        <v>4711.91</v>
      </c>
      <c r="N57">
        <v>0.17</v>
      </c>
      <c r="O57" t="s">
        <v>33</v>
      </c>
      <c r="P57" t="s">
        <v>39</v>
      </c>
    </row>
    <row r="58" spans="1:16">
      <c r="A58">
        <v>1057</v>
      </c>
      <c r="B58" s="30" t="s">
        <v>145</v>
      </c>
      <c r="C58" s="33">
        <f>MONTH(Table1[[#This Row],[Date]])</f>
        <v>10</v>
      </c>
      <c r="D58" t="s">
        <v>69</v>
      </c>
      <c r="E58" t="s">
        <v>70</v>
      </c>
      <c r="F58" t="s">
        <v>15</v>
      </c>
      <c r="G58" t="s">
        <v>100</v>
      </c>
      <c r="H58" t="s">
        <v>148</v>
      </c>
      <c r="I58">
        <v>3</v>
      </c>
      <c r="J58">
        <v>40029</v>
      </c>
      <c r="K58">
        <f>Table1[[#This Row],[Quantity]]*Table1[[#This Row],[Unit Price]]</f>
        <v>120087</v>
      </c>
      <c r="L58">
        <f>Table1[[#This Row],[Sales]]*Table1[[#This Row],[Discount]]</f>
        <v>1200.8700000000001</v>
      </c>
      <c r="M58">
        <f>Table1[[#This Row],[Sales]]-Table1[[#This Row],[dis]]</f>
        <v>118886.13</v>
      </c>
      <c r="N58">
        <v>0.01</v>
      </c>
      <c r="O58" t="s">
        <v>33</v>
      </c>
      <c r="P58" t="s">
        <v>44</v>
      </c>
    </row>
    <row r="59" spans="1:16">
      <c r="A59">
        <v>1058</v>
      </c>
      <c r="B59" s="30" t="s">
        <v>99</v>
      </c>
      <c r="C59" s="33">
        <f>MONTH(Table1[[#This Row],[Date]])</f>
        <v>4</v>
      </c>
      <c r="D59" t="s">
        <v>21</v>
      </c>
      <c r="E59" t="s">
        <v>22</v>
      </c>
      <c r="F59" t="s">
        <v>30</v>
      </c>
      <c r="G59" t="s">
        <v>66</v>
      </c>
      <c r="H59" t="s">
        <v>142</v>
      </c>
      <c r="I59">
        <v>7</v>
      </c>
      <c r="J59">
        <v>14322</v>
      </c>
      <c r="K59">
        <f>Table1[[#This Row],[Quantity]]*Table1[[#This Row],[Unit Price]]</f>
        <v>100254</v>
      </c>
      <c r="L59">
        <f>Table1[[#This Row],[Sales]]*Table1[[#This Row],[Discount]]</f>
        <v>19048.260000000002</v>
      </c>
      <c r="M59">
        <f>Table1[[#This Row],[Sales]]-Table1[[#This Row],[dis]]</f>
        <v>81205.739999999991</v>
      </c>
      <c r="N59">
        <v>0.19</v>
      </c>
      <c r="O59" t="s">
        <v>33</v>
      </c>
      <c r="P59" t="s">
        <v>19</v>
      </c>
    </row>
    <row r="60" spans="1:16">
      <c r="A60">
        <v>1059</v>
      </c>
      <c r="B60" s="30" t="s">
        <v>149</v>
      </c>
      <c r="C60" s="33">
        <f>MONTH(Table1[[#This Row],[Date]])</f>
        <v>11</v>
      </c>
      <c r="D60" t="s">
        <v>69</v>
      </c>
      <c r="E60" t="s">
        <v>111</v>
      </c>
      <c r="F60" t="s">
        <v>30</v>
      </c>
      <c r="G60" t="s">
        <v>55</v>
      </c>
      <c r="H60" t="s">
        <v>150</v>
      </c>
      <c r="I60">
        <v>8</v>
      </c>
      <c r="J60">
        <v>47465</v>
      </c>
      <c r="K60">
        <f>Table1[[#This Row],[Quantity]]*Table1[[#This Row],[Unit Price]]</f>
        <v>379720</v>
      </c>
      <c r="L60">
        <f>Table1[[#This Row],[Sales]]*Table1[[#This Row],[Discount]]</f>
        <v>11391.6</v>
      </c>
      <c r="M60">
        <f>Table1[[#This Row],[Sales]]-Table1[[#This Row],[dis]]</f>
        <v>368328.4</v>
      </c>
      <c r="N60">
        <v>0.03</v>
      </c>
      <c r="O60" t="s">
        <v>33</v>
      </c>
      <c r="P60" t="s">
        <v>63</v>
      </c>
    </row>
    <row r="61" spans="1:16">
      <c r="A61">
        <v>1060</v>
      </c>
      <c r="B61" s="30" t="s">
        <v>139</v>
      </c>
      <c r="C61" s="33">
        <f>MONTH(Table1[[#This Row],[Date]])</f>
        <v>6</v>
      </c>
      <c r="D61" t="s">
        <v>13</v>
      </c>
      <c r="E61" t="s">
        <v>93</v>
      </c>
      <c r="F61" t="s">
        <v>15</v>
      </c>
      <c r="G61" t="s">
        <v>85</v>
      </c>
      <c r="H61" t="s">
        <v>151</v>
      </c>
      <c r="I61">
        <v>3</v>
      </c>
      <c r="J61">
        <v>4508</v>
      </c>
      <c r="K61">
        <f>Table1[[#This Row],[Quantity]]*Table1[[#This Row],[Unit Price]]</f>
        <v>13524</v>
      </c>
      <c r="L61">
        <f>Table1[[#This Row],[Sales]]*Table1[[#This Row],[Discount]]</f>
        <v>270.48</v>
      </c>
      <c r="M61">
        <f>Table1[[#This Row],[Sales]]-Table1[[#This Row],[dis]]</f>
        <v>13253.52</v>
      </c>
      <c r="N61">
        <v>0.02</v>
      </c>
      <c r="O61" t="s">
        <v>33</v>
      </c>
      <c r="P61" t="s">
        <v>34</v>
      </c>
    </row>
    <row r="62" spans="1:16">
      <c r="A62">
        <v>1061</v>
      </c>
      <c r="B62" s="30" t="s">
        <v>152</v>
      </c>
      <c r="C62" s="33">
        <f>MONTH(Table1[[#This Row],[Date]])</f>
        <v>9</v>
      </c>
      <c r="D62" t="s">
        <v>28</v>
      </c>
      <c r="E62" t="s">
        <v>36</v>
      </c>
      <c r="F62" t="s">
        <v>30</v>
      </c>
      <c r="G62" t="s">
        <v>61</v>
      </c>
      <c r="H62" t="s">
        <v>153</v>
      </c>
      <c r="I62">
        <v>6</v>
      </c>
      <c r="J62">
        <v>21510</v>
      </c>
      <c r="K62">
        <f>Table1[[#This Row],[Quantity]]*Table1[[#This Row],[Unit Price]]</f>
        <v>129060</v>
      </c>
      <c r="L62">
        <f>Table1[[#This Row],[Sales]]*Table1[[#This Row],[Discount]]</f>
        <v>6453</v>
      </c>
      <c r="M62">
        <f>Table1[[#This Row],[Sales]]-Table1[[#This Row],[dis]]</f>
        <v>122607</v>
      </c>
      <c r="N62">
        <v>0.05</v>
      </c>
      <c r="O62" t="s">
        <v>33</v>
      </c>
      <c r="P62" t="s">
        <v>73</v>
      </c>
    </row>
    <row r="63" spans="1:16">
      <c r="A63">
        <v>1062</v>
      </c>
      <c r="B63" s="30" t="s">
        <v>154</v>
      </c>
      <c r="C63" s="33">
        <f>MONTH(Table1[[#This Row],[Date]])</f>
        <v>12</v>
      </c>
      <c r="D63" t="s">
        <v>28</v>
      </c>
      <c r="E63" t="s">
        <v>36</v>
      </c>
      <c r="F63" t="s">
        <v>23</v>
      </c>
      <c r="G63" t="s">
        <v>155</v>
      </c>
      <c r="H63" t="s">
        <v>156</v>
      </c>
      <c r="I63">
        <v>9</v>
      </c>
      <c r="J63">
        <v>6713</v>
      </c>
      <c r="K63">
        <f>Table1[[#This Row],[Quantity]]*Table1[[#This Row],[Unit Price]]</f>
        <v>60417</v>
      </c>
      <c r="L63">
        <f>Table1[[#This Row],[Sales]]*Table1[[#This Row],[Discount]]</f>
        <v>8458.380000000001</v>
      </c>
      <c r="M63">
        <f>Table1[[#This Row],[Sales]]-Table1[[#This Row],[dis]]</f>
        <v>51958.619999999995</v>
      </c>
      <c r="N63">
        <v>0.14000000000000001</v>
      </c>
      <c r="O63" t="s">
        <v>33</v>
      </c>
      <c r="P63" t="s">
        <v>39</v>
      </c>
    </row>
    <row r="64" spans="1:16">
      <c r="A64">
        <v>1063</v>
      </c>
      <c r="B64" s="30" t="s">
        <v>157</v>
      </c>
      <c r="C64" s="33">
        <f>MONTH(Table1[[#This Row],[Date]])</f>
        <v>8</v>
      </c>
      <c r="D64" t="s">
        <v>13</v>
      </c>
      <c r="E64" t="s">
        <v>93</v>
      </c>
      <c r="F64" t="s">
        <v>30</v>
      </c>
      <c r="G64" t="s">
        <v>31</v>
      </c>
      <c r="H64" t="s">
        <v>88</v>
      </c>
      <c r="I64">
        <v>10</v>
      </c>
      <c r="J64">
        <v>10054</v>
      </c>
      <c r="K64">
        <f>Table1[[#This Row],[Quantity]]*Table1[[#This Row],[Unit Price]]</f>
        <v>100540</v>
      </c>
      <c r="L64">
        <f>Table1[[#This Row],[Sales]]*Table1[[#This Row],[Discount]]</f>
        <v>11059.4</v>
      </c>
      <c r="M64">
        <f>Table1[[#This Row],[Sales]]-Table1[[#This Row],[dis]]</f>
        <v>89480.6</v>
      </c>
      <c r="N64">
        <v>0.11</v>
      </c>
      <c r="O64" t="s">
        <v>33</v>
      </c>
      <c r="P64" t="s">
        <v>26</v>
      </c>
    </row>
    <row r="65" spans="1:16">
      <c r="A65">
        <v>1064</v>
      </c>
      <c r="B65" s="30" t="s">
        <v>158</v>
      </c>
      <c r="C65" s="33">
        <f>MONTH(Table1[[#This Row],[Date]])</f>
        <v>7</v>
      </c>
      <c r="D65" t="s">
        <v>69</v>
      </c>
      <c r="E65" t="s">
        <v>70</v>
      </c>
      <c r="F65" t="s">
        <v>23</v>
      </c>
      <c r="G65" t="s">
        <v>37</v>
      </c>
      <c r="H65" t="s">
        <v>38</v>
      </c>
      <c r="I65">
        <v>7</v>
      </c>
      <c r="J65">
        <v>6538</v>
      </c>
      <c r="K65">
        <f>Table1[[#This Row],[Quantity]]*Table1[[#This Row],[Unit Price]]</f>
        <v>45766</v>
      </c>
      <c r="L65">
        <f>Table1[[#This Row],[Sales]]*Table1[[#This Row],[Discount]]</f>
        <v>0</v>
      </c>
      <c r="M65">
        <f>Table1[[#This Row],[Sales]]-Table1[[#This Row],[dis]]</f>
        <v>45766</v>
      </c>
      <c r="N65">
        <v>0</v>
      </c>
      <c r="O65" t="s">
        <v>18</v>
      </c>
      <c r="P65" t="s">
        <v>73</v>
      </c>
    </row>
    <row r="66" spans="1:16">
      <c r="A66">
        <v>1065</v>
      </c>
      <c r="B66" s="30" t="s">
        <v>159</v>
      </c>
      <c r="C66" s="33">
        <f>MONTH(Table1[[#This Row],[Date]])</f>
        <v>5</v>
      </c>
      <c r="D66" t="s">
        <v>13</v>
      </c>
      <c r="E66" t="s">
        <v>14</v>
      </c>
      <c r="F66" t="s">
        <v>23</v>
      </c>
      <c r="G66" t="s">
        <v>24</v>
      </c>
      <c r="H66" t="s">
        <v>94</v>
      </c>
      <c r="I66">
        <v>3</v>
      </c>
      <c r="J66">
        <v>42025</v>
      </c>
      <c r="K66">
        <f>Table1[[#This Row],[Quantity]]*Table1[[#This Row],[Unit Price]]</f>
        <v>126075</v>
      </c>
      <c r="L66">
        <f>Table1[[#This Row],[Sales]]*Table1[[#This Row],[Discount]]</f>
        <v>8825.25</v>
      </c>
      <c r="M66">
        <f>Table1[[#This Row],[Sales]]-Table1[[#This Row],[dis]]</f>
        <v>117249.75</v>
      </c>
      <c r="N66">
        <v>7.0000000000000007E-2</v>
      </c>
      <c r="O66" t="s">
        <v>18</v>
      </c>
      <c r="P66" t="s">
        <v>39</v>
      </c>
    </row>
    <row r="67" spans="1:16">
      <c r="A67">
        <v>1066</v>
      </c>
      <c r="B67" s="30" t="s">
        <v>160</v>
      </c>
      <c r="C67" s="33">
        <f>MONTH(Table1[[#This Row],[Date]])</f>
        <v>6</v>
      </c>
      <c r="D67" t="s">
        <v>28</v>
      </c>
      <c r="E67" t="s">
        <v>58</v>
      </c>
      <c r="F67" t="s">
        <v>15</v>
      </c>
      <c r="G67" t="s">
        <v>50</v>
      </c>
      <c r="H67" t="s">
        <v>51</v>
      </c>
      <c r="I67">
        <v>1</v>
      </c>
      <c r="J67">
        <v>38321</v>
      </c>
      <c r="K67">
        <f>Table1[[#This Row],[Quantity]]*Table1[[#This Row],[Unit Price]]</f>
        <v>38321</v>
      </c>
      <c r="L67">
        <f>Table1[[#This Row],[Sales]]*Table1[[#This Row],[Discount]]</f>
        <v>3065.6800000000003</v>
      </c>
      <c r="M67">
        <f>Table1[[#This Row],[Sales]]-Table1[[#This Row],[dis]]</f>
        <v>35255.32</v>
      </c>
      <c r="N67">
        <v>0.08</v>
      </c>
      <c r="O67" t="s">
        <v>18</v>
      </c>
      <c r="P67" t="s">
        <v>44</v>
      </c>
    </row>
    <row r="68" spans="1:16">
      <c r="A68">
        <v>1067</v>
      </c>
      <c r="B68" s="30" t="s">
        <v>161</v>
      </c>
      <c r="C68" s="33">
        <f>MONTH(Table1[[#This Row],[Date]])</f>
        <v>6</v>
      </c>
      <c r="D68" t="s">
        <v>69</v>
      </c>
      <c r="E68" t="s">
        <v>75</v>
      </c>
      <c r="F68" t="s">
        <v>23</v>
      </c>
      <c r="G68" t="s">
        <v>24</v>
      </c>
      <c r="H68" t="s">
        <v>94</v>
      </c>
      <c r="I68">
        <v>1</v>
      </c>
      <c r="J68">
        <v>17539</v>
      </c>
      <c r="K68">
        <f>Table1[[#This Row],[Quantity]]*Table1[[#This Row],[Unit Price]]</f>
        <v>17539</v>
      </c>
      <c r="L68">
        <f>Table1[[#This Row],[Sales]]*Table1[[#This Row],[Discount]]</f>
        <v>3507.8</v>
      </c>
      <c r="M68">
        <f>Table1[[#This Row],[Sales]]-Table1[[#This Row],[dis]]</f>
        <v>14031.2</v>
      </c>
      <c r="N68">
        <v>0.2</v>
      </c>
      <c r="O68" t="s">
        <v>18</v>
      </c>
      <c r="P68" t="s">
        <v>63</v>
      </c>
    </row>
    <row r="69" spans="1:16">
      <c r="A69">
        <v>1068</v>
      </c>
      <c r="B69" s="30" t="s">
        <v>162</v>
      </c>
      <c r="C69" s="33">
        <f>MONTH(Table1[[#This Row],[Date]])</f>
        <v>5</v>
      </c>
      <c r="D69" t="s">
        <v>21</v>
      </c>
      <c r="E69" t="s">
        <v>60</v>
      </c>
      <c r="F69" t="s">
        <v>30</v>
      </c>
      <c r="G69" t="s">
        <v>61</v>
      </c>
      <c r="H69" t="s">
        <v>163</v>
      </c>
      <c r="I69">
        <v>3</v>
      </c>
      <c r="J69">
        <v>1343</v>
      </c>
      <c r="K69">
        <f>Table1[[#This Row],[Quantity]]*Table1[[#This Row],[Unit Price]]</f>
        <v>4029</v>
      </c>
      <c r="L69">
        <f>Table1[[#This Row],[Sales]]*Table1[[#This Row],[Discount]]</f>
        <v>684.93000000000006</v>
      </c>
      <c r="M69">
        <f>Table1[[#This Row],[Sales]]-Table1[[#This Row],[dis]]</f>
        <v>3344.0699999999997</v>
      </c>
      <c r="N69">
        <v>0.17</v>
      </c>
      <c r="O69" t="s">
        <v>18</v>
      </c>
      <c r="P69" t="s">
        <v>44</v>
      </c>
    </row>
    <row r="70" spans="1:16">
      <c r="A70">
        <v>1069</v>
      </c>
      <c r="B70" s="30" t="s">
        <v>164</v>
      </c>
      <c r="C70" s="33">
        <f>MONTH(Table1[[#This Row],[Date]])</f>
        <v>10</v>
      </c>
      <c r="D70" t="s">
        <v>13</v>
      </c>
      <c r="E70" t="s">
        <v>82</v>
      </c>
      <c r="F70" t="s">
        <v>15</v>
      </c>
      <c r="G70" t="s">
        <v>16</v>
      </c>
      <c r="H70" t="s">
        <v>127</v>
      </c>
      <c r="I70">
        <v>1</v>
      </c>
      <c r="J70">
        <v>49922</v>
      </c>
      <c r="K70">
        <f>Table1[[#This Row],[Quantity]]*Table1[[#This Row],[Unit Price]]</f>
        <v>49922</v>
      </c>
      <c r="L70">
        <f>Table1[[#This Row],[Sales]]*Table1[[#This Row],[Discount]]</f>
        <v>998.44</v>
      </c>
      <c r="M70">
        <f>Table1[[#This Row],[Sales]]-Table1[[#This Row],[dis]]</f>
        <v>48923.56</v>
      </c>
      <c r="N70">
        <v>0.02</v>
      </c>
      <c r="O70" t="s">
        <v>33</v>
      </c>
      <c r="P70" t="s">
        <v>26</v>
      </c>
    </row>
    <row r="71" spans="1:16">
      <c r="A71">
        <v>1070</v>
      </c>
      <c r="B71" s="30" t="s">
        <v>136</v>
      </c>
      <c r="C71" s="33">
        <f>MONTH(Table1[[#This Row],[Date]])</f>
        <v>12</v>
      </c>
      <c r="D71" t="s">
        <v>69</v>
      </c>
      <c r="E71" t="s">
        <v>72</v>
      </c>
      <c r="F71" t="s">
        <v>15</v>
      </c>
      <c r="G71" t="s">
        <v>100</v>
      </c>
      <c r="H71" t="s">
        <v>148</v>
      </c>
      <c r="I71">
        <v>9</v>
      </c>
      <c r="J71">
        <v>10629</v>
      </c>
      <c r="K71">
        <f>Table1[[#This Row],[Quantity]]*Table1[[#This Row],[Unit Price]]</f>
        <v>95661</v>
      </c>
      <c r="L71">
        <f>Table1[[#This Row],[Sales]]*Table1[[#This Row],[Discount]]</f>
        <v>12435.93</v>
      </c>
      <c r="M71">
        <f>Table1[[#This Row],[Sales]]-Table1[[#This Row],[dis]]</f>
        <v>83225.070000000007</v>
      </c>
      <c r="N71">
        <v>0.13</v>
      </c>
      <c r="O71" t="s">
        <v>33</v>
      </c>
      <c r="P71" t="s">
        <v>44</v>
      </c>
    </row>
    <row r="72" spans="1:16">
      <c r="A72">
        <v>1071</v>
      </c>
      <c r="B72" s="30" t="s">
        <v>165</v>
      </c>
      <c r="C72" s="33">
        <f>MONTH(Table1[[#This Row],[Date]])</f>
        <v>11</v>
      </c>
      <c r="D72" t="s">
        <v>69</v>
      </c>
      <c r="E72" t="s">
        <v>72</v>
      </c>
      <c r="F72" t="s">
        <v>23</v>
      </c>
      <c r="G72" t="s">
        <v>155</v>
      </c>
      <c r="H72" t="s">
        <v>156</v>
      </c>
      <c r="I72">
        <v>4</v>
      </c>
      <c r="J72">
        <v>10394</v>
      </c>
      <c r="K72">
        <f>Table1[[#This Row],[Quantity]]*Table1[[#This Row],[Unit Price]]</f>
        <v>41576</v>
      </c>
      <c r="L72">
        <f>Table1[[#This Row],[Sales]]*Table1[[#This Row],[Discount]]</f>
        <v>4573.3599999999997</v>
      </c>
      <c r="M72">
        <f>Table1[[#This Row],[Sales]]-Table1[[#This Row],[dis]]</f>
        <v>37002.639999999999</v>
      </c>
      <c r="N72">
        <v>0.11</v>
      </c>
      <c r="O72" t="s">
        <v>18</v>
      </c>
      <c r="P72" t="s">
        <v>103</v>
      </c>
    </row>
    <row r="73" spans="1:16">
      <c r="A73">
        <v>1072</v>
      </c>
      <c r="B73" s="30" t="s">
        <v>166</v>
      </c>
      <c r="C73" s="33">
        <f>MONTH(Table1[[#This Row],[Date]])</f>
        <v>8</v>
      </c>
      <c r="D73" t="s">
        <v>21</v>
      </c>
      <c r="E73" t="s">
        <v>80</v>
      </c>
      <c r="F73" t="s">
        <v>41</v>
      </c>
      <c r="G73" t="s">
        <v>42</v>
      </c>
      <c r="H73" t="s">
        <v>167</v>
      </c>
      <c r="I73">
        <v>8</v>
      </c>
      <c r="J73">
        <v>8454</v>
      </c>
      <c r="K73">
        <f>Table1[[#This Row],[Quantity]]*Table1[[#This Row],[Unit Price]]</f>
        <v>67632</v>
      </c>
      <c r="L73">
        <f>Table1[[#This Row],[Sales]]*Table1[[#This Row],[Discount]]</f>
        <v>8115.84</v>
      </c>
      <c r="M73">
        <f>Table1[[#This Row],[Sales]]-Table1[[#This Row],[dis]]</f>
        <v>59516.160000000003</v>
      </c>
      <c r="N73">
        <v>0.12</v>
      </c>
      <c r="O73" t="s">
        <v>18</v>
      </c>
      <c r="P73" t="s">
        <v>34</v>
      </c>
    </row>
    <row r="74" spans="1:16">
      <c r="A74">
        <v>1073</v>
      </c>
      <c r="B74" s="30" t="s">
        <v>168</v>
      </c>
      <c r="C74" s="33">
        <f>MONTH(Table1[[#This Row],[Date]])</f>
        <v>4</v>
      </c>
      <c r="D74" t="s">
        <v>69</v>
      </c>
      <c r="E74" t="s">
        <v>75</v>
      </c>
      <c r="F74" t="s">
        <v>30</v>
      </c>
      <c r="G74" t="s">
        <v>66</v>
      </c>
      <c r="H74" t="s">
        <v>67</v>
      </c>
      <c r="I74">
        <v>9</v>
      </c>
      <c r="J74">
        <v>36897</v>
      </c>
      <c r="K74">
        <f>Table1[[#This Row],[Quantity]]*Table1[[#This Row],[Unit Price]]</f>
        <v>332073</v>
      </c>
      <c r="L74">
        <f>Table1[[#This Row],[Sales]]*Table1[[#This Row],[Discount]]</f>
        <v>19924.38</v>
      </c>
      <c r="M74">
        <f>Table1[[#This Row],[Sales]]-Table1[[#This Row],[dis]]</f>
        <v>312148.62</v>
      </c>
      <c r="N74">
        <v>0.06</v>
      </c>
      <c r="O74" t="s">
        <v>18</v>
      </c>
      <c r="P74" t="s">
        <v>34</v>
      </c>
    </row>
    <row r="75" spans="1:16">
      <c r="A75">
        <v>1074</v>
      </c>
      <c r="B75" s="30" t="s">
        <v>169</v>
      </c>
      <c r="C75" s="33">
        <f>MONTH(Table1[[#This Row],[Date]])</f>
        <v>5</v>
      </c>
      <c r="D75" t="s">
        <v>21</v>
      </c>
      <c r="E75" t="s">
        <v>114</v>
      </c>
      <c r="F75" t="s">
        <v>15</v>
      </c>
      <c r="G75" t="s">
        <v>85</v>
      </c>
      <c r="H75" t="s">
        <v>151</v>
      </c>
      <c r="I75">
        <v>2</v>
      </c>
      <c r="J75">
        <v>26407</v>
      </c>
      <c r="K75">
        <f>Table1[[#This Row],[Quantity]]*Table1[[#This Row],[Unit Price]]</f>
        <v>52814</v>
      </c>
      <c r="L75">
        <f>Table1[[#This Row],[Sales]]*Table1[[#This Row],[Discount]]</f>
        <v>5809.54</v>
      </c>
      <c r="M75">
        <f>Table1[[#This Row],[Sales]]-Table1[[#This Row],[dis]]</f>
        <v>47004.46</v>
      </c>
      <c r="N75">
        <v>0.11</v>
      </c>
      <c r="O75" t="s">
        <v>18</v>
      </c>
      <c r="P75" t="s">
        <v>34</v>
      </c>
    </row>
    <row r="76" spans="1:16">
      <c r="A76">
        <v>1075</v>
      </c>
      <c r="B76" s="30" t="s">
        <v>170</v>
      </c>
      <c r="C76" s="33">
        <f>MONTH(Table1[[#This Row],[Date]])</f>
        <v>12</v>
      </c>
      <c r="D76" t="s">
        <v>28</v>
      </c>
      <c r="E76" t="s">
        <v>36</v>
      </c>
      <c r="F76" t="s">
        <v>30</v>
      </c>
      <c r="G76" t="s">
        <v>61</v>
      </c>
      <c r="H76" t="s">
        <v>163</v>
      </c>
      <c r="I76">
        <v>2</v>
      </c>
      <c r="J76">
        <v>3114</v>
      </c>
      <c r="K76">
        <f>Table1[[#This Row],[Quantity]]*Table1[[#This Row],[Unit Price]]</f>
        <v>6228</v>
      </c>
      <c r="L76">
        <f>Table1[[#This Row],[Sales]]*Table1[[#This Row],[Discount]]</f>
        <v>747.36</v>
      </c>
      <c r="M76">
        <f>Table1[[#This Row],[Sales]]-Table1[[#This Row],[dis]]</f>
        <v>5480.64</v>
      </c>
      <c r="N76">
        <v>0.12</v>
      </c>
      <c r="O76" t="s">
        <v>18</v>
      </c>
      <c r="P76" t="s">
        <v>26</v>
      </c>
    </row>
    <row r="77" spans="1:16">
      <c r="A77">
        <v>1076</v>
      </c>
      <c r="B77" s="30" t="s">
        <v>171</v>
      </c>
      <c r="C77" s="33">
        <f>MONTH(Table1[[#This Row],[Date]])</f>
        <v>6</v>
      </c>
      <c r="D77" t="s">
        <v>69</v>
      </c>
      <c r="E77" t="s">
        <v>70</v>
      </c>
      <c r="F77" t="s">
        <v>23</v>
      </c>
      <c r="G77" t="s">
        <v>131</v>
      </c>
      <c r="H77" t="s">
        <v>172</v>
      </c>
      <c r="I77">
        <v>8</v>
      </c>
      <c r="J77">
        <v>24515</v>
      </c>
      <c r="K77">
        <f>Table1[[#This Row],[Quantity]]*Table1[[#This Row],[Unit Price]]</f>
        <v>196120</v>
      </c>
      <c r="L77">
        <f>Table1[[#This Row],[Sales]]*Table1[[#This Row],[Discount]]</f>
        <v>27456.800000000003</v>
      </c>
      <c r="M77">
        <f>Table1[[#This Row],[Sales]]-Table1[[#This Row],[dis]]</f>
        <v>168663.2</v>
      </c>
      <c r="N77">
        <v>0.14000000000000001</v>
      </c>
      <c r="O77" t="s">
        <v>33</v>
      </c>
      <c r="P77" t="s">
        <v>63</v>
      </c>
    </row>
    <row r="78" spans="1:16">
      <c r="A78">
        <v>1077</v>
      </c>
      <c r="B78" s="30" t="s">
        <v>173</v>
      </c>
      <c r="C78" s="33">
        <f>MONTH(Table1[[#This Row],[Date]])</f>
        <v>1</v>
      </c>
      <c r="D78" t="s">
        <v>21</v>
      </c>
      <c r="E78" t="s">
        <v>60</v>
      </c>
      <c r="F78" t="s">
        <v>41</v>
      </c>
      <c r="G78" t="s">
        <v>115</v>
      </c>
      <c r="H78" t="s">
        <v>174</v>
      </c>
      <c r="I78">
        <v>6</v>
      </c>
      <c r="J78">
        <v>25155</v>
      </c>
      <c r="K78">
        <f>Table1[[#This Row],[Quantity]]*Table1[[#This Row],[Unit Price]]</f>
        <v>150930</v>
      </c>
      <c r="L78">
        <f>Table1[[#This Row],[Sales]]*Table1[[#This Row],[Discount]]</f>
        <v>12074.4</v>
      </c>
      <c r="M78">
        <f>Table1[[#This Row],[Sales]]-Table1[[#This Row],[dis]]</f>
        <v>138855.6</v>
      </c>
      <c r="N78">
        <v>0.08</v>
      </c>
      <c r="O78" t="s">
        <v>33</v>
      </c>
      <c r="P78" t="s">
        <v>19</v>
      </c>
    </row>
    <row r="79" spans="1:16">
      <c r="A79">
        <v>1078</v>
      </c>
      <c r="B79" s="30" t="s">
        <v>175</v>
      </c>
      <c r="C79" s="33">
        <f>MONTH(Table1[[#This Row],[Date]])</f>
        <v>7</v>
      </c>
      <c r="D79" t="s">
        <v>21</v>
      </c>
      <c r="E79" t="s">
        <v>114</v>
      </c>
      <c r="F79" t="s">
        <v>15</v>
      </c>
      <c r="G79" t="s">
        <v>85</v>
      </c>
      <c r="H79" t="s">
        <v>151</v>
      </c>
      <c r="I79">
        <v>8</v>
      </c>
      <c r="J79">
        <v>12474</v>
      </c>
      <c r="K79">
        <f>Table1[[#This Row],[Quantity]]*Table1[[#This Row],[Unit Price]]</f>
        <v>99792</v>
      </c>
      <c r="L79">
        <f>Table1[[#This Row],[Sales]]*Table1[[#This Row],[Discount]]</f>
        <v>13970.880000000001</v>
      </c>
      <c r="M79">
        <f>Table1[[#This Row],[Sales]]-Table1[[#This Row],[dis]]</f>
        <v>85821.119999999995</v>
      </c>
      <c r="N79">
        <v>0.14000000000000001</v>
      </c>
      <c r="O79" t="s">
        <v>18</v>
      </c>
      <c r="P79" t="s">
        <v>19</v>
      </c>
    </row>
    <row r="80" spans="1:16">
      <c r="A80">
        <v>1079</v>
      </c>
      <c r="B80" s="30" t="s">
        <v>176</v>
      </c>
      <c r="C80" s="33">
        <f>MONTH(Table1[[#This Row],[Date]])</f>
        <v>1</v>
      </c>
      <c r="D80" t="s">
        <v>28</v>
      </c>
      <c r="E80" t="s">
        <v>36</v>
      </c>
      <c r="F80" t="s">
        <v>15</v>
      </c>
      <c r="G80" t="s">
        <v>16</v>
      </c>
      <c r="H80" t="s">
        <v>53</v>
      </c>
      <c r="I80">
        <v>5</v>
      </c>
      <c r="J80">
        <v>21432</v>
      </c>
      <c r="K80">
        <f>Table1[[#This Row],[Quantity]]*Table1[[#This Row],[Unit Price]]</f>
        <v>107160</v>
      </c>
      <c r="L80">
        <f>Table1[[#This Row],[Sales]]*Table1[[#This Row],[Discount]]</f>
        <v>10716</v>
      </c>
      <c r="M80">
        <f>Table1[[#This Row],[Sales]]-Table1[[#This Row],[dis]]</f>
        <v>96444</v>
      </c>
      <c r="N80">
        <v>0.1</v>
      </c>
      <c r="O80" t="s">
        <v>18</v>
      </c>
      <c r="P80" t="s">
        <v>63</v>
      </c>
    </row>
    <row r="81" spans="1:16">
      <c r="A81">
        <v>1080</v>
      </c>
      <c r="B81" s="30" t="s">
        <v>177</v>
      </c>
      <c r="C81" s="33">
        <f>MONTH(Table1[[#This Row],[Date]])</f>
        <v>1</v>
      </c>
      <c r="D81" t="s">
        <v>21</v>
      </c>
      <c r="E81" t="s">
        <v>60</v>
      </c>
      <c r="F81" t="s">
        <v>15</v>
      </c>
      <c r="G81" t="s">
        <v>16</v>
      </c>
      <c r="H81" t="s">
        <v>53</v>
      </c>
      <c r="I81">
        <v>7</v>
      </c>
      <c r="J81">
        <v>41716</v>
      </c>
      <c r="K81">
        <f>Table1[[#This Row],[Quantity]]*Table1[[#This Row],[Unit Price]]</f>
        <v>292012</v>
      </c>
      <c r="L81">
        <f>Table1[[#This Row],[Sales]]*Table1[[#This Row],[Discount]]</f>
        <v>46721.919999999998</v>
      </c>
      <c r="M81">
        <f>Table1[[#This Row],[Sales]]-Table1[[#This Row],[dis]]</f>
        <v>245290.08000000002</v>
      </c>
      <c r="N81">
        <v>0.16</v>
      </c>
      <c r="O81" t="s">
        <v>18</v>
      </c>
      <c r="P81" t="s">
        <v>44</v>
      </c>
    </row>
    <row r="82" spans="1:16">
      <c r="A82">
        <v>1081</v>
      </c>
      <c r="B82" s="30" t="s">
        <v>178</v>
      </c>
      <c r="C82" s="33">
        <f>MONTH(Table1[[#This Row],[Date]])</f>
        <v>6</v>
      </c>
      <c r="D82" t="s">
        <v>69</v>
      </c>
      <c r="E82" t="s">
        <v>111</v>
      </c>
      <c r="F82" t="s">
        <v>30</v>
      </c>
      <c r="G82" t="s">
        <v>31</v>
      </c>
      <c r="H82" t="s">
        <v>109</v>
      </c>
      <c r="I82">
        <v>9</v>
      </c>
      <c r="J82">
        <v>29852</v>
      </c>
      <c r="K82">
        <f>Table1[[#This Row],[Quantity]]*Table1[[#This Row],[Unit Price]]</f>
        <v>268668</v>
      </c>
      <c r="L82">
        <f>Table1[[#This Row],[Sales]]*Table1[[#This Row],[Discount]]</f>
        <v>29553.48</v>
      </c>
      <c r="M82">
        <f>Table1[[#This Row],[Sales]]-Table1[[#This Row],[dis]]</f>
        <v>239114.52</v>
      </c>
      <c r="N82">
        <v>0.11</v>
      </c>
      <c r="O82" t="s">
        <v>33</v>
      </c>
      <c r="P82" t="s">
        <v>103</v>
      </c>
    </row>
    <row r="83" spans="1:16">
      <c r="A83">
        <v>1082</v>
      </c>
      <c r="B83" s="30" t="s">
        <v>179</v>
      </c>
      <c r="C83" s="33">
        <f>MONTH(Table1[[#This Row],[Date]])</f>
        <v>10</v>
      </c>
      <c r="D83" t="s">
        <v>69</v>
      </c>
      <c r="E83" t="s">
        <v>72</v>
      </c>
      <c r="F83" t="s">
        <v>41</v>
      </c>
      <c r="G83" t="s">
        <v>115</v>
      </c>
      <c r="H83" t="s">
        <v>180</v>
      </c>
      <c r="I83">
        <v>9</v>
      </c>
      <c r="J83">
        <v>43258</v>
      </c>
      <c r="K83">
        <f>Table1[[#This Row],[Quantity]]*Table1[[#This Row],[Unit Price]]</f>
        <v>389322</v>
      </c>
      <c r="L83">
        <f>Table1[[#This Row],[Sales]]*Table1[[#This Row],[Discount]]</f>
        <v>7786.4400000000005</v>
      </c>
      <c r="M83">
        <f>Table1[[#This Row],[Sales]]-Table1[[#This Row],[dis]]</f>
        <v>381535.56</v>
      </c>
      <c r="N83">
        <v>0.02</v>
      </c>
      <c r="O83" t="s">
        <v>18</v>
      </c>
      <c r="P83" t="s">
        <v>26</v>
      </c>
    </row>
    <row r="84" spans="1:16">
      <c r="A84">
        <v>1083</v>
      </c>
      <c r="B84" s="30" t="s">
        <v>181</v>
      </c>
      <c r="C84" s="33">
        <f>MONTH(Table1[[#This Row],[Date]])</f>
        <v>10</v>
      </c>
      <c r="D84" t="s">
        <v>21</v>
      </c>
      <c r="E84" t="s">
        <v>80</v>
      </c>
      <c r="F84" t="s">
        <v>15</v>
      </c>
      <c r="G84" t="s">
        <v>85</v>
      </c>
      <c r="H84" t="s">
        <v>151</v>
      </c>
      <c r="I84">
        <v>5</v>
      </c>
      <c r="J84">
        <v>42489</v>
      </c>
      <c r="K84">
        <f>Table1[[#This Row],[Quantity]]*Table1[[#This Row],[Unit Price]]</f>
        <v>212445</v>
      </c>
      <c r="L84">
        <f>Table1[[#This Row],[Sales]]*Table1[[#This Row],[Discount]]</f>
        <v>6373.3499999999995</v>
      </c>
      <c r="M84">
        <f>Table1[[#This Row],[Sales]]-Table1[[#This Row],[dis]]</f>
        <v>206071.65</v>
      </c>
      <c r="N84">
        <v>0.03</v>
      </c>
      <c r="O84" t="s">
        <v>33</v>
      </c>
      <c r="P84" t="s">
        <v>63</v>
      </c>
    </row>
    <row r="85" spans="1:16">
      <c r="A85">
        <v>1084</v>
      </c>
      <c r="B85" s="30" t="s">
        <v>182</v>
      </c>
      <c r="C85" s="33">
        <f>MONTH(Table1[[#This Row],[Date]])</f>
        <v>12</v>
      </c>
      <c r="D85" t="s">
        <v>69</v>
      </c>
      <c r="E85" t="s">
        <v>70</v>
      </c>
      <c r="F85" t="s">
        <v>23</v>
      </c>
      <c r="G85" t="s">
        <v>24</v>
      </c>
      <c r="H85" t="s">
        <v>25</v>
      </c>
      <c r="I85">
        <v>10</v>
      </c>
      <c r="J85">
        <v>27301</v>
      </c>
      <c r="K85">
        <f>Table1[[#This Row],[Quantity]]*Table1[[#This Row],[Unit Price]]</f>
        <v>273010</v>
      </c>
      <c r="L85">
        <f>Table1[[#This Row],[Sales]]*Table1[[#This Row],[Discount]]</f>
        <v>40951.5</v>
      </c>
      <c r="M85">
        <f>Table1[[#This Row],[Sales]]-Table1[[#This Row],[dis]]</f>
        <v>232058.5</v>
      </c>
      <c r="N85">
        <v>0.15</v>
      </c>
      <c r="O85" t="s">
        <v>18</v>
      </c>
      <c r="P85" t="s">
        <v>19</v>
      </c>
    </row>
    <row r="86" spans="1:16">
      <c r="A86">
        <v>1085</v>
      </c>
      <c r="B86" s="30" t="s">
        <v>183</v>
      </c>
      <c r="C86" s="33">
        <f>MONTH(Table1[[#This Row],[Date]])</f>
        <v>8</v>
      </c>
      <c r="D86" t="s">
        <v>13</v>
      </c>
      <c r="E86" t="s">
        <v>93</v>
      </c>
      <c r="F86" t="s">
        <v>41</v>
      </c>
      <c r="G86" t="s">
        <v>115</v>
      </c>
      <c r="H86" t="s">
        <v>180</v>
      </c>
      <c r="I86">
        <v>3</v>
      </c>
      <c r="J86">
        <v>37824</v>
      </c>
      <c r="K86">
        <f>Table1[[#This Row],[Quantity]]*Table1[[#This Row],[Unit Price]]</f>
        <v>113472</v>
      </c>
      <c r="L86">
        <f>Table1[[#This Row],[Sales]]*Table1[[#This Row],[Discount]]</f>
        <v>6808.32</v>
      </c>
      <c r="M86">
        <f>Table1[[#This Row],[Sales]]-Table1[[#This Row],[dis]]</f>
        <v>106663.67999999999</v>
      </c>
      <c r="N86">
        <v>0.06</v>
      </c>
      <c r="O86" t="s">
        <v>33</v>
      </c>
      <c r="P86" t="s">
        <v>103</v>
      </c>
    </row>
    <row r="87" spans="1:16">
      <c r="A87">
        <v>1086</v>
      </c>
      <c r="B87" s="30" t="s">
        <v>184</v>
      </c>
      <c r="C87" s="33">
        <f>MONTH(Table1[[#This Row],[Date]])</f>
        <v>12</v>
      </c>
      <c r="D87" t="s">
        <v>28</v>
      </c>
      <c r="E87" t="s">
        <v>29</v>
      </c>
      <c r="F87" t="s">
        <v>41</v>
      </c>
      <c r="G87" t="s">
        <v>47</v>
      </c>
      <c r="H87" t="s">
        <v>48</v>
      </c>
      <c r="I87">
        <v>4</v>
      </c>
      <c r="J87">
        <v>41988</v>
      </c>
      <c r="K87">
        <f>Table1[[#This Row],[Quantity]]*Table1[[#This Row],[Unit Price]]</f>
        <v>167952</v>
      </c>
      <c r="L87">
        <f>Table1[[#This Row],[Sales]]*Table1[[#This Row],[Discount]]</f>
        <v>20154.239999999998</v>
      </c>
      <c r="M87">
        <f>Table1[[#This Row],[Sales]]-Table1[[#This Row],[dis]]</f>
        <v>147797.76000000001</v>
      </c>
      <c r="N87">
        <v>0.12</v>
      </c>
      <c r="O87" t="s">
        <v>18</v>
      </c>
      <c r="P87" t="s">
        <v>73</v>
      </c>
    </row>
    <row r="88" spans="1:16">
      <c r="A88">
        <v>1087</v>
      </c>
      <c r="B88" s="30" t="s">
        <v>161</v>
      </c>
      <c r="C88" s="33">
        <f>MONTH(Table1[[#This Row],[Date]])</f>
        <v>6</v>
      </c>
      <c r="D88" t="s">
        <v>13</v>
      </c>
      <c r="E88" t="s">
        <v>141</v>
      </c>
      <c r="F88" t="s">
        <v>23</v>
      </c>
      <c r="G88" t="s">
        <v>24</v>
      </c>
      <c r="H88" t="s">
        <v>94</v>
      </c>
      <c r="I88">
        <v>5</v>
      </c>
      <c r="J88">
        <v>18016</v>
      </c>
      <c r="K88">
        <f>Table1[[#This Row],[Quantity]]*Table1[[#This Row],[Unit Price]]</f>
        <v>90080</v>
      </c>
      <c r="L88">
        <f>Table1[[#This Row],[Sales]]*Table1[[#This Row],[Discount]]</f>
        <v>6305.6</v>
      </c>
      <c r="M88">
        <f>Table1[[#This Row],[Sales]]-Table1[[#This Row],[dis]]</f>
        <v>83774.399999999994</v>
      </c>
      <c r="N88">
        <v>7.0000000000000007E-2</v>
      </c>
      <c r="O88" t="s">
        <v>33</v>
      </c>
      <c r="P88" t="s">
        <v>19</v>
      </c>
    </row>
    <row r="89" spans="1:16">
      <c r="A89">
        <v>1088</v>
      </c>
      <c r="B89" s="30" t="s">
        <v>185</v>
      </c>
      <c r="C89" s="33">
        <f>MONTH(Table1[[#This Row],[Date]])</f>
        <v>7</v>
      </c>
      <c r="D89" t="s">
        <v>21</v>
      </c>
      <c r="E89" t="s">
        <v>22</v>
      </c>
      <c r="F89" t="s">
        <v>23</v>
      </c>
      <c r="G89" t="s">
        <v>24</v>
      </c>
      <c r="H89" t="s">
        <v>98</v>
      </c>
      <c r="I89">
        <v>8</v>
      </c>
      <c r="J89">
        <v>11486</v>
      </c>
      <c r="K89">
        <f>Table1[[#This Row],[Quantity]]*Table1[[#This Row],[Unit Price]]</f>
        <v>91888</v>
      </c>
      <c r="L89">
        <f>Table1[[#This Row],[Sales]]*Table1[[#This Row],[Discount]]</f>
        <v>15620.960000000001</v>
      </c>
      <c r="M89">
        <f>Table1[[#This Row],[Sales]]-Table1[[#This Row],[dis]]</f>
        <v>76267.039999999994</v>
      </c>
      <c r="N89">
        <v>0.17</v>
      </c>
      <c r="O89" t="s">
        <v>18</v>
      </c>
      <c r="P89" t="s">
        <v>44</v>
      </c>
    </row>
    <row r="90" spans="1:16">
      <c r="A90">
        <v>1089</v>
      </c>
      <c r="B90" s="30" t="s">
        <v>186</v>
      </c>
      <c r="C90" s="33">
        <f>MONTH(Table1[[#This Row],[Date]])</f>
        <v>3</v>
      </c>
      <c r="D90" t="s">
        <v>69</v>
      </c>
      <c r="E90" t="s">
        <v>72</v>
      </c>
      <c r="F90" t="s">
        <v>41</v>
      </c>
      <c r="G90" t="s">
        <v>76</v>
      </c>
      <c r="H90" t="s">
        <v>106</v>
      </c>
      <c r="I90">
        <v>8</v>
      </c>
      <c r="J90">
        <v>33981</v>
      </c>
      <c r="K90">
        <f>Table1[[#This Row],[Quantity]]*Table1[[#This Row],[Unit Price]]</f>
        <v>271848</v>
      </c>
      <c r="L90">
        <f>Table1[[#This Row],[Sales]]*Table1[[#This Row],[Discount]]</f>
        <v>35340.239999999998</v>
      </c>
      <c r="M90">
        <f>Table1[[#This Row],[Sales]]-Table1[[#This Row],[dis]]</f>
        <v>236507.76</v>
      </c>
      <c r="N90">
        <v>0.13</v>
      </c>
      <c r="O90" t="s">
        <v>33</v>
      </c>
      <c r="P90" t="s">
        <v>34</v>
      </c>
    </row>
    <row r="91" spans="1:16">
      <c r="A91">
        <v>1090</v>
      </c>
      <c r="B91" s="30" t="s">
        <v>187</v>
      </c>
      <c r="C91" s="33">
        <f>MONTH(Table1[[#This Row],[Date]])</f>
        <v>10</v>
      </c>
      <c r="D91" t="s">
        <v>28</v>
      </c>
      <c r="E91" t="s">
        <v>36</v>
      </c>
      <c r="F91" t="s">
        <v>15</v>
      </c>
      <c r="G91" t="s">
        <v>85</v>
      </c>
      <c r="H91" t="s">
        <v>118</v>
      </c>
      <c r="I91">
        <v>9</v>
      </c>
      <c r="J91">
        <v>23864</v>
      </c>
      <c r="K91">
        <f>Table1[[#This Row],[Quantity]]*Table1[[#This Row],[Unit Price]]</f>
        <v>214776</v>
      </c>
      <c r="L91">
        <f>Table1[[#This Row],[Sales]]*Table1[[#This Row],[Discount]]</f>
        <v>2147.7600000000002</v>
      </c>
      <c r="M91">
        <f>Table1[[#This Row],[Sales]]-Table1[[#This Row],[dis]]</f>
        <v>212628.24</v>
      </c>
      <c r="N91">
        <v>0.01</v>
      </c>
      <c r="O91" t="s">
        <v>33</v>
      </c>
      <c r="P91" t="s">
        <v>63</v>
      </c>
    </row>
    <row r="92" spans="1:16">
      <c r="A92">
        <v>1091</v>
      </c>
      <c r="B92" s="30" t="s">
        <v>188</v>
      </c>
      <c r="C92" s="33">
        <f>MONTH(Table1[[#This Row],[Date]])</f>
        <v>2</v>
      </c>
      <c r="D92" t="s">
        <v>28</v>
      </c>
      <c r="E92" t="s">
        <v>29</v>
      </c>
      <c r="F92" t="s">
        <v>41</v>
      </c>
      <c r="G92" t="s">
        <v>42</v>
      </c>
      <c r="H92" t="s">
        <v>90</v>
      </c>
      <c r="I92">
        <v>6</v>
      </c>
      <c r="J92">
        <v>38835</v>
      </c>
      <c r="K92">
        <f>Table1[[#This Row],[Quantity]]*Table1[[#This Row],[Unit Price]]</f>
        <v>233010</v>
      </c>
      <c r="L92">
        <f>Table1[[#This Row],[Sales]]*Table1[[#This Row],[Discount]]</f>
        <v>27961.200000000001</v>
      </c>
      <c r="M92">
        <f>Table1[[#This Row],[Sales]]-Table1[[#This Row],[dis]]</f>
        <v>205048.8</v>
      </c>
      <c r="N92">
        <v>0.12</v>
      </c>
      <c r="O92" t="s">
        <v>18</v>
      </c>
      <c r="P92" t="s">
        <v>44</v>
      </c>
    </row>
    <row r="93" spans="1:16">
      <c r="A93">
        <v>1092</v>
      </c>
      <c r="B93" s="30" t="s">
        <v>189</v>
      </c>
      <c r="C93" s="33">
        <f>MONTH(Table1[[#This Row],[Date]])</f>
        <v>9</v>
      </c>
      <c r="D93" t="s">
        <v>28</v>
      </c>
      <c r="E93" t="s">
        <v>29</v>
      </c>
      <c r="F93" t="s">
        <v>23</v>
      </c>
      <c r="G93" t="s">
        <v>131</v>
      </c>
      <c r="H93" t="s">
        <v>132</v>
      </c>
      <c r="I93">
        <v>6</v>
      </c>
      <c r="J93">
        <v>35216</v>
      </c>
      <c r="K93">
        <f>Table1[[#This Row],[Quantity]]*Table1[[#This Row],[Unit Price]]</f>
        <v>211296</v>
      </c>
      <c r="L93">
        <f>Table1[[#This Row],[Sales]]*Table1[[#This Row],[Discount]]</f>
        <v>42259.200000000004</v>
      </c>
      <c r="M93">
        <f>Table1[[#This Row],[Sales]]-Table1[[#This Row],[dis]]</f>
        <v>169036.79999999999</v>
      </c>
      <c r="N93">
        <v>0.2</v>
      </c>
      <c r="O93" t="s">
        <v>33</v>
      </c>
      <c r="P93" t="s">
        <v>44</v>
      </c>
    </row>
    <row r="94" spans="1:16">
      <c r="A94">
        <v>1093</v>
      </c>
      <c r="B94" s="30" t="s">
        <v>190</v>
      </c>
      <c r="C94" s="33">
        <f>MONTH(Table1[[#This Row],[Date]])</f>
        <v>1</v>
      </c>
      <c r="D94" t="s">
        <v>69</v>
      </c>
      <c r="E94" t="s">
        <v>70</v>
      </c>
      <c r="F94" t="s">
        <v>23</v>
      </c>
      <c r="G94" t="s">
        <v>24</v>
      </c>
      <c r="H94" t="s">
        <v>25</v>
      </c>
      <c r="I94">
        <v>1</v>
      </c>
      <c r="J94">
        <v>14263</v>
      </c>
      <c r="K94">
        <f>Table1[[#This Row],[Quantity]]*Table1[[#This Row],[Unit Price]]</f>
        <v>14263</v>
      </c>
      <c r="L94">
        <f>Table1[[#This Row],[Sales]]*Table1[[#This Row],[Discount]]</f>
        <v>2709.9700000000003</v>
      </c>
      <c r="M94">
        <f>Table1[[#This Row],[Sales]]-Table1[[#This Row],[dis]]</f>
        <v>11553.029999999999</v>
      </c>
      <c r="N94">
        <v>0.19</v>
      </c>
      <c r="O94" t="s">
        <v>18</v>
      </c>
      <c r="P94" t="s">
        <v>44</v>
      </c>
    </row>
    <row r="95" spans="1:16">
      <c r="A95">
        <v>1094</v>
      </c>
      <c r="B95" s="30" t="s">
        <v>191</v>
      </c>
      <c r="C95" s="33">
        <f>MONTH(Table1[[#This Row],[Date]])</f>
        <v>6</v>
      </c>
      <c r="D95" t="s">
        <v>28</v>
      </c>
      <c r="E95" t="s">
        <v>46</v>
      </c>
      <c r="F95" t="s">
        <v>41</v>
      </c>
      <c r="G95" t="s">
        <v>42</v>
      </c>
      <c r="H95" t="s">
        <v>43</v>
      </c>
      <c r="I95">
        <v>9</v>
      </c>
      <c r="J95">
        <v>1612</v>
      </c>
      <c r="K95">
        <f>Table1[[#This Row],[Quantity]]*Table1[[#This Row],[Unit Price]]</f>
        <v>14508</v>
      </c>
      <c r="L95">
        <f>Table1[[#This Row],[Sales]]*Table1[[#This Row],[Discount]]</f>
        <v>1305.72</v>
      </c>
      <c r="M95">
        <f>Table1[[#This Row],[Sales]]-Table1[[#This Row],[dis]]</f>
        <v>13202.28</v>
      </c>
      <c r="N95">
        <v>0.09</v>
      </c>
      <c r="O95" t="s">
        <v>18</v>
      </c>
      <c r="P95" t="s">
        <v>34</v>
      </c>
    </row>
    <row r="96" spans="1:16">
      <c r="A96">
        <v>1095</v>
      </c>
      <c r="B96" s="30" t="s">
        <v>192</v>
      </c>
      <c r="C96" s="33">
        <f>MONTH(Table1[[#This Row],[Date]])</f>
        <v>11</v>
      </c>
      <c r="D96" t="s">
        <v>69</v>
      </c>
      <c r="E96" t="s">
        <v>72</v>
      </c>
      <c r="F96" t="s">
        <v>23</v>
      </c>
      <c r="G96" t="s">
        <v>155</v>
      </c>
      <c r="H96" t="s">
        <v>193</v>
      </c>
      <c r="I96">
        <v>5</v>
      </c>
      <c r="J96">
        <v>10549</v>
      </c>
      <c r="K96">
        <f>Table1[[#This Row],[Quantity]]*Table1[[#This Row],[Unit Price]]</f>
        <v>52745</v>
      </c>
      <c r="L96">
        <f>Table1[[#This Row],[Sales]]*Table1[[#This Row],[Discount]]</f>
        <v>6856.85</v>
      </c>
      <c r="M96">
        <f>Table1[[#This Row],[Sales]]-Table1[[#This Row],[dis]]</f>
        <v>45888.15</v>
      </c>
      <c r="N96">
        <v>0.13</v>
      </c>
      <c r="O96" t="s">
        <v>33</v>
      </c>
      <c r="P96" t="s">
        <v>26</v>
      </c>
    </row>
    <row r="97" spans="1:16">
      <c r="A97">
        <v>1096</v>
      </c>
      <c r="B97" s="30" t="s">
        <v>194</v>
      </c>
      <c r="C97" s="33">
        <f>MONTH(Table1[[#This Row],[Date]])</f>
        <v>2</v>
      </c>
      <c r="D97" t="s">
        <v>69</v>
      </c>
      <c r="E97" t="s">
        <v>70</v>
      </c>
      <c r="F97" t="s">
        <v>41</v>
      </c>
      <c r="G97" t="s">
        <v>115</v>
      </c>
      <c r="H97" t="s">
        <v>116</v>
      </c>
      <c r="I97">
        <v>8</v>
      </c>
      <c r="J97">
        <v>36450</v>
      </c>
      <c r="K97">
        <f>Table1[[#This Row],[Quantity]]*Table1[[#This Row],[Unit Price]]</f>
        <v>291600</v>
      </c>
      <c r="L97">
        <f>Table1[[#This Row],[Sales]]*Table1[[#This Row],[Discount]]</f>
        <v>17496</v>
      </c>
      <c r="M97">
        <f>Table1[[#This Row],[Sales]]-Table1[[#This Row],[dis]]</f>
        <v>274104</v>
      </c>
      <c r="N97">
        <v>0.06</v>
      </c>
      <c r="O97" t="s">
        <v>33</v>
      </c>
      <c r="P97" t="s">
        <v>34</v>
      </c>
    </row>
    <row r="98" spans="1:16">
      <c r="A98">
        <v>1097</v>
      </c>
      <c r="B98" s="30" t="s">
        <v>171</v>
      </c>
      <c r="C98" s="33">
        <f>MONTH(Table1[[#This Row],[Date]])</f>
        <v>6</v>
      </c>
      <c r="D98" t="s">
        <v>69</v>
      </c>
      <c r="E98" t="s">
        <v>111</v>
      </c>
      <c r="F98" t="s">
        <v>23</v>
      </c>
      <c r="G98" t="s">
        <v>24</v>
      </c>
      <c r="H98" t="s">
        <v>25</v>
      </c>
      <c r="I98">
        <v>5</v>
      </c>
      <c r="J98">
        <v>45114</v>
      </c>
      <c r="K98">
        <f>Table1[[#This Row],[Quantity]]*Table1[[#This Row],[Unit Price]]</f>
        <v>225570</v>
      </c>
      <c r="L98">
        <f>Table1[[#This Row],[Sales]]*Table1[[#This Row],[Discount]]</f>
        <v>27068.399999999998</v>
      </c>
      <c r="M98">
        <f>Table1[[#This Row],[Sales]]-Table1[[#This Row],[dis]]</f>
        <v>198501.6</v>
      </c>
      <c r="N98">
        <v>0.12</v>
      </c>
      <c r="O98" t="s">
        <v>18</v>
      </c>
      <c r="P98" t="s">
        <v>44</v>
      </c>
    </row>
    <row r="99" spans="1:16">
      <c r="A99">
        <v>1098</v>
      </c>
      <c r="B99" s="30" t="s">
        <v>35</v>
      </c>
      <c r="C99" s="33">
        <f>MONTH(Table1[[#This Row],[Date]])</f>
        <v>8</v>
      </c>
      <c r="D99" t="s">
        <v>28</v>
      </c>
      <c r="E99" t="s">
        <v>46</v>
      </c>
      <c r="F99" t="s">
        <v>23</v>
      </c>
      <c r="G99" t="s">
        <v>155</v>
      </c>
      <c r="H99" t="s">
        <v>193</v>
      </c>
      <c r="I99">
        <v>2</v>
      </c>
      <c r="J99">
        <v>12984</v>
      </c>
      <c r="K99">
        <f>Table1[[#This Row],[Quantity]]*Table1[[#This Row],[Unit Price]]</f>
        <v>25968</v>
      </c>
      <c r="L99">
        <f>Table1[[#This Row],[Sales]]*Table1[[#This Row],[Discount]]</f>
        <v>2596.8000000000002</v>
      </c>
      <c r="M99">
        <f>Table1[[#This Row],[Sales]]-Table1[[#This Row],[dis]]</f>
        <v>23371.200000000001</v>
      </c>
      <c r="N99">
        <v>0.1</v>
      </c>
      <c r="O99" t="s">
        <v>33</v>
      </c>
      <c r="P99" t="s">
        <v>34</v>
      </c>
    </row>
    <row r="100" spans="1:16">
      <c r="A100">
        <v>1099</v>
      </c>
      <c r="B100" s="30" t="s">
        <v>195</v>
      </c>
      <c r="C100" s="33">
        <f>MONTH(Table1[[#This Row],[Date]])</f>
        <v>10</v>
      </c>
      <c r="D100" t="s">
        <v>69</v>
      </c>
      <c r="E100" t="s">
        <v>111</v>
      </c>
      <c r="F100" t="s">
        <v>41</v>
      </c>
      <c r="G100" t="s">
        <v>76</v>
      </c>
      <c r="H100" t="s">
        <v>77</v>
      </c>
      <c r="I100">
        <v>7</v>
      </c>
      <c r="J100">
        <v>22071</v>
      </c>
      <c r="K100">
        <f>Table1[[#This Row],[Quantity]]*Table1[[#This Row],[Unit Price]]</f>
        <v>154497</v>
      </c>
      <c r="L100">
        <f>Table1[[#This Row],[Sales]]*Table1[[#This Row],[Discount]]</f>
        <v>1544.97</v>
      </c>
      <c r="M100">
        <f>Table1[[#This Row],[Sales]]-Table1[[#This Row],[dis]]</f>
        <v>152952.03</v>
      </c>
      <c r="N100">
        <v>0.01</v>
      </c>
      <c r="O100" t="s">
        <v>33</v>
      </c>
      <c r="P100" t="s">
        <v>34</v>
      </c>
    </row>
    <row r="101" spans="1:16">
      <c r="A101">
        <v>1100</v>
      </c>
      <c r="B101" s="30" t="s">
        <v>12</v>
      </c>
      <c r="C101" s="33">
        <f>MONTH(Table1[[#This Row],[Date]])</f>
        <v>4</v>
      </c>
      <c r="D101" t="s">
        <v>21</v>
      </c>
      <c r="E101" t="s">
        <v>60</v>
      </c>
      <c r="F101" t="s">
        <v>23</v>
      </c>
      <c r="G101" t="s">
        <v>37</v>
      </c>
      <c r="H101" t="s">
        <v>38</v>
      </c>
      <c r="I101">
        <v>10</v>
      </c>
      <c r="J101">
        <v>8406</v>
      </c>
      <c r="K101">
        <f>Table1[[#This Row],[Quantity]]*Table1[[#This Row],[Unit Price]]</f>
        <v>84060</v>
      </c>
      <c r="L101">
        <f>Table1[[#This Row],[Sales]]*Table1[[#This Row],[Discount]]</f>
        <v>5884.2000000000007</v>
      </c>
      <c r="M101">
        <f>Table1[[#This Row],[Sales]]-Table1[[#This Row],[dis]]</f>
        <v>78175.8</v>
      </c>
      <c r="N101">
        <v>7.0000000000000007E-2</v>
      </c>
      <c r="O101" t="s">
        <v>18</v>
      </c>
      <c r="P101" t="s">
        <v>19</v>
      </c>
    </row>
    <row r="102" spans="1:16">
      <c r="A102">
        <v>1101</v>
      </c>
      <c r="B102" s="30" t="s">
        <v>196</v>
      </c>
      <c r="C102" s="33">
        <f>MONTH(Table1[[#This Row],[Date]])</f>
        <v>12</v>
      </c>
      <c r="D102" t="s">
        <v>28</v>
      </c>
      <c r="E102" t="s">
        <v>36</v>
      </c>
      <c r="F102" t="s">
        <v>23</v>
      </c>
      <c r="G102" t="s">
        <v>37</v>
      </c>
      <c r="H102" t="s">
        <v>38</v>
      </c>
      <c r="I102">
        <v>2</v>
      </c>
      <c r="J102">
        <v>19806</v>
      </c>
      <c r="K102">
        <f>Table1[[#This Row],[Quantity]]*Table1[[#This Row],[Unit Price]]</f>
        <v>39612</v>
      </c>
      <c r="L102">
        <f>Table1[[#This Row],[Sales]]*Table1[[#This Row],[Discount]]</f>
        <v>1980.6000000000001</v>
      </c>
      <c r="M102">
        <f>Table1[[#This Row],[Sales]]-Table1[[#This Row],[dis]]</f>
        <v>37631.4</v>
      </c>
      <c r="N102">
        <v>0.05</v>
      </c>
      <c r="O102" t="s">
        <v>33</v>
      </c>
      <c r="P102" t="s">
        <v>73</v>
      </c>
    </row>
    <row r="103" spans="1:16">
      <c r="A103">
        <v>1102</v>
      </c>
      <c r="B103" s="30" t="s">
        <v>197</v>
      </c>
      <c r="C103" s="33">
        <f>MONTH(Table1[[#This Row],[Date]])</f>
        <v>3</v>
      </c>
      <c r="D103" t="s">
        <v>13</v>
      </c>
      <c r="E103" t="s">
        <v>141</v>
      </c>
      <c r="F103" t="s">
        <v>15</v>
      </c>
      <c r="G103" t="s">
        <v>50</v>
      </c>
      <c r="H103" t="s">
        <v>51</v>
      </c>
      <c r="I103">
        <v>10</v>
      </c>
      <c r="J103">
        <v>10205</v>
      </c>
      <c r="K103">
        <f>Table1[[#This Row],[Quantity]]*Table1[[#This Row],[Unit Price]]</f>
        <v>102050</v>
      </c>
      <c r="L103">
        <f>Table1[[#This Row],[Sales]]*Table1[[#This Row],[Discount]]</f>
        <v>2041</v>
      </c>
      <c r="M103">
        <f>Table1[[#This Row],[Sales]]-Table1[[#This Row],[dis]]</f>
        <v>100009</v>
      </c>
      <c r="N103">
        <v>0.02</v>
      </c>
      <c r="O103" t="s">
        <v>33</v>
      </c>
      <c r="P103" t="s">
        <v>73</v>
      </c>
    </row>
    <row r="104" spans="1:16">
      <c r="A104">
        <v>1103</v>
      </c>
      <c r="B104" s="30" t="s">
        <v>198</v>
      </c>
      <c r="C104" s="33">
        <f>MONTH(Table1[[#This Row],[Date]])</f>
        <v>12</v>
      </c>
      <c r="D104" t="s">
        <v>28</v>
      </c>
      <c r="E104" t="s">
        <v>36</v>
      </c>
      <c r="F104" t="s">
        <v>30</v>
      </c>
      <c r="G104" t="s">
        <v>66</v>
      </c>
      <c r="H104" t="s">
        <v>199</v>
      </c>
      <c r="I104">
        <v>4</v>
      </c>
      <c r="J104">
        <v>31257</v>
      </c>
      <c r="K104">
        <f>Table1[[#This Row],[Quantity]]*Table1[[#This Row],[Unit Price]]</f>
        <v>125028</v>
      </c>
      <c r="L104">
        <f>Table1[[#This Row],[Sales]]*Table1[[#This Row],[Discount]]</f>
        <v>13753.08</v>
      </c>
      <c r="M104">
        <f>Table1[[#This Row],[Sales]]-Table1[[#This Row],[dis]]</f>
        <v>111274.92</v>
      </c>
      <c r="N104">
        <v>0.11</v>
      </c>
      <c r="O104" t="s">
        <v>33</v>
      </c>
      <c r="P104" t="s">
        <v>63</v>
      </c>
    </row>
    <row r="105" spans="1:16">
      <c r="A105">
        <v>1104</v>
      </c>
      <c r="B105" s="30" t="s">
        <v>200</v>
      </c>
      <c r="C105" s="33">
        <f>MONTH(Table1[[#This Row],[Date]])</f>
        <v>1</v>
      </c>
      <c r="D105" t="s">
        <v>28</v>
      </c>
      <c r="E105" t="s">
        <v>29</v>
      </c>
      <c r="F105" t="s">
        <v>41</v>
      </c>
      <c r="G105" t="s">
        <v>76</v>
      </c>
      <c r="H105" t="s">
        <v>123</v>
      </c>
      <c r="I105">
        <v>7</v>
      </c>
      <c r="J105">
        <v>45758</v>
      </c>
      <c r="K105">
        <f>Table1[[#This Row],[Quantity]]*Table1[[#This Row],[Unit Price]]</f>
        <v>320306</v>
      </c>
      <c r="L105">
        <f>Table1[[#This Row],[Sales]]*Table1[[#This Row],[Discount]]</f>
        <v>9609.18</v>
      </c>
      <c r="M105">
        <f>Table1[[#This Row],[Sales]]-Table1[[#This Row],[dis]]</f>
        <v>310696.82</v>
      </c>
      <c r="N105">
        <v>0.03</v>
      </c>
      <c r="O105" t="s">
        <v>18</v>
      </c>
      <c r="P105" t="s">
        <v>103</v>
      </c>
    </row>
    <row r="106" spans="1:16">
      <c r="A106">
        <v>1105</v>
      </c>
      <c r="B106" s="30" t="s">
        <v>201</v>
      </c>
      <c r="C106" s="33">
        <f>MONTH(Table1[[#This Row],[Date]])</f>
        <v>2</v>
      </c>
      <c r="D106" t="s">
        <v>21</v>
      </c>
      <c r="E106" t="s">
        <v>114</v>
      </c>
      <c r="F106" t="s">
        <v>41</v>
      </c>
      <c r="G106" t="s">
        <v>42</v>
      </c>
      <c r="H106" t="s">
        <v>167</v>
      </c>
      <c r="I106">
        <v>3</v>
      </c>
      <c r="J106">
        <v>1357</v>
      </c>
      <c r="K106">
        <f>Table1[[#This Row],[Quantity]]*Table1[[#This Row],[Unit Price]]</f>
        <v>4071</v>
      </c>
      <c r="L106">
        <f>Table1[[#This Row],[Sales]]*Table1[[#This Row],[Discount]]</f>
        <v>773.49</v>
      </c>
      <c r="M106">
        <f>Table1[[#This Row],[Sales]]-Table1[[#This Row],[dis]]</f>
        <v>3297.51</v>
      </c>
      <c r="N106">
        <v>0.19</v>
      </c>
      <c r="O106" t="s">
        <v>18</v>
      </c>
      <c r="P106" t="s">
        <v>26</v>
      </c>
    </row>
    <row r="107" spans="1:16">
      <c r="A107">
        <v>1106</v>
      </c>
      <c r="B107" s="30" t="s">
        <v>202</v>
      </c>
      <c r="C107" s="33">
        <f>MONTH(Table1[[#This Row],[Date]])</f>
        <v>1</v>
      </c>
      <c r="D107" t="s">
        <v>13</v>
      </c>
      <c r="E107" t="s">
        <v>141</v>
      </c>
      <c r="F107" t="s">
        <v>30</v>
      </c>
      <c r="G107" t="s">
        <v>31</v>
      </c>
      <c r="H107" t="s">
        <v>88</v>
      </c>
      <c r="I107">
        <v>1</v>
      </c>
      <c r="J107">
        <v>21761</v>
      </c>
      <c r="K107">
        <f>Table1[[#This Row],[Quantity]]*Table1[[#This Row],[Unit Price]]</f>
        <v>21761</v>
      </c>
      <c r="L107">
        <f>Table1[[#This Row],[Sales]]*Table1[[#This Row],[Discount]]</f>
        <v>3916.98</v>
      </c>
      <c r="M107">
        <f>Table1[[#This Row],[Sales]]-Table1[[#This Row],[dis]]</f>
        <v>17844.02</v>
      </c>
      <c r="N107">
        <v>0.18</v>
      </c>
      <c r="O107" t="s">
        <v>18</v>
      </c>
      <c r="P107" t="s">
        <v>39</v>
      </c>
    </row>
    <row r="108" spans="1:16">
      <c r="A108">
        <v>1107</v>
      </c>
      <c r="B108" s="30" t="s">
        <v>203</v>
      </c>
      <c r="C108" s="33">
        <f>MONTH(Table1[[#This Row],[Date]])</f>
        <v>8</v>
      </c>
      <c r="D108" t="s">
        <v>21</v>
      </c>
      <c r="E108" t="s">
        <v>80</v>
      </c>
      <c r="F108" t="s">
        <v>41</v>
      </c>
      <c r="G108" t="s">
        <v>42</v>
      </c>
      <c r="H108" t="s">
        <v>90</v>
      </c>
      <c r="I108">
        <v>6</v>
      </c>
      <c r="J108">
        <v>18512</v>
      </c>
      <c r="K108">
        <f>Table1[[#This Row],[Quantity]]*Table1[[#This Row],[Unit Price]]</f>
        <v>111072</v>
      </c>
      <c r="L108">
        <f>Table1[[#This Row],[Sales]]*Table1[[#This Row],[Discount]]</f>
        <v>18882.240000000002</v>
      </c>
      <c r="M108">
        <f>Table1[[#This Row],[Sales]]-Table1[[#This Row],[dis]]</f>
        <v>92189.759999999995</v>
      </c>
      <c r="N108">
        <v>0.17</v>
      </c>
      <c r="O108" t="s">
        <v>33</v>
      </c>
      <c r="P108" t="s">
        <v>63</v>
      </c>
    </row>
    <row r="109" spans="1:16">
      <c r="A109">
        <v>1108</v>
      </c>
      <c r="B109" s="30" t="s">
        <v>204</v>
      </c>
      <c r="C109" s="33">
        <f>MONTH(Table1[[#This Row],[Date]])</f>
        <v>1</v>
      </c>
      <c r="D109" t="s">
        <v>28</v>
      </c>
      <c r="E109" t="s">
        <v>36</v>
      </c>
      <c r="F109" t="s">
        <v>30</v>
      </c>
      <c r="G109" t="s">
        <v>55</v>
      </c>
      <c r="H109" t="s">
        <v>150</v>
      </c>
      <c r="I109">
        <v>7</v>
      </c>
      <c r="J109">
        <v>39773</v>
      </c>
      <c r="K109">
        <f>Table1[[#This Row],[Quantity]]*Table1[[#This Row],[Unit Price]]</f>
        <v>278411</v>
      </c>
      <c r="L109">
        <f>Table1[[#This Row],[Sales]]*Table1[[#This Row],[Discount]]</f>
        <v>11136.44</v>
      </c>
      <c r="M109">
        <f>Table1[[#This Row],[Sales]]-Table1[[#This Row],[dis]]</f>
        <v>267274.56</v>
      </c>
      <c r="N109">
        <v>0.04</v>
      </c>
      <c r="O109" t="s">
        <v>18</v>
      </c>
      <c r="P109" t="s">
        <v>63</v>
      </c>
    </row>
    <row r="110" spans="1:16">
      <c r="A110">
        <v>1109</v>
      </c>
      <c r="B110" s="30" t="s">
        <v>64</v>
      </c>
      <c r="C110" s="33">
        <f>MONTH(Table1[[#This Row],[Date]])</f>
        <v>12</v>
      </c>
      <c r="D110" t="s">
        <v>28</v>
      </c>
      <c r="E110" t="s">
        <v>29</v>
      </c>
      <c r="F110" t="s">
        <v>41</v>
      </c>
      <c r="G110" t="s">
        <v>115</v>
      </c>
      <c r="H110" t="s">
        <v>180</v>
      </c>
      <c r="I110">
        <v>1</v>
      </c>
      <c r="J110">
        <v>35493</v>
      </c>
      <c r="K110">
        <f>Table1[[#This Row],[Quantity]]*Table1[[#This Row],[Unit Price]]</f>
        <v>35493</v>
      </c>
      <c r="L110">
        <f>Table1[[#This Row],[Sales]]*Table1[[#This Row],[Discount]]</f>
        <v>1064.79</v>
      </c>
      <c r="M110">
        <f>Table1[[#This Row],[Sales]]-Table1[[#This Row],[dis]]</f>
        <v>34428.21</v>
      </c>
      <c r="N110">
        <v>0.03</v>
      </c>
      <c r="O110" t="s">
        <v>33</v>
      </c>
      <c r="P110" t="s">
        <v>103</v>
      </c>
    </row>
    <row r="111" spans="1:16">
      <c r="A111">
        <v>1110</v>
      </c>
      <c r="B111" s="30" t="s">
        <v>205</v>
      </c>
      <c r="C111" s="33">
        <f>MONTH(Table1[[#This Row],[Date]])</f>
        <v>7</v>
      </c>
      <c r="D111" t="s">
        <v>28</v>
      </c>
      <c r="E111" t="s">
        <v>29</v>
      </c>
      <c r="F111" t="s">
        <v>30</v>
      </c>
      <c r="G111" t="s">
        <v>31</v>
      </c>
      <c r="H111" t="s">
        <v>88</v>
      </c>
      <c r="I111">
        <v>7</v>
      </c>
      <c r="J111">
        <v>9371</v>
      </c>
      <c r="K111">
        <f>Table1[[#This Row],[Quantity]]*Table1[[#This Row],[Unit Price]]</f>
        <v>65597</v>
      </c>
      <c r="L111">
        <f>Table1[[#This Row],[Sales]]*Table1[[#This Row],[Discount]]</f>
        <v>3279.8500000000004</v>
      </c>
      <c r="M111">
        <f>Table1[[#This Row],[Sales]]-Table1[[#This Row],[dis]]</f>
        <v>62317.15</v>
      </c>
      <c r="N111">
        <v>0.05</v>
      </c>
      <c r="O111" t="s">
        <v>33</v>
      </c>
      <c r="P111" t="s">
        <v>44</v>
      </c>
    </row>
    <row r="112" spans="1:16">
      <c r="A112">
        <v>1111</v>
      </c>
      <c r="B112" s="30" t="s">
        <v>206</v>
      </c>
      <c r="C112" s="33">
        <f>MONTH(Table1[[#This Row],[Date]])</f>
        <v>12</v>
      </c>
      <c r="D112" t="s">
        <v>21</v>
      </c>
      <c r="E112" t="s">
        <v>80</v>
      </c>
      <c r="F112" t="s">
        <v>30</v>
      </c>
      <c r="G112" t="s">
        <v>66</v>
      </c>
      <c r="H112" t="s">
        <v>199</v>
      </c>
      <c r="I112">
        <v>10</v>
      </c>
      <c r="J112">
        <v>635</v>
      </c>
      <c r="K112">
        <f>Table1[[#This Row],[Quantity]]*Table1[[#This Row],[Unit Price]]</f>
        <v>6350</v>
      </c>
      <c r="L112">
        <f>Table1[[#This Row],[Sales]]*Table1[[#This Row],[Discount]]</f>
        <v>63.5</v>
      </c>
      <c r="M112">
        <f>Table1[[#This Row],[Sales]]-Table1[[#This Row],[dis]]</f>
        <v>6286.5</v>
      </c>
      <c r="N112">
        <v>0.01</v>
      </c>
      <c r="O112" t="s">
        <v>33</v>
      </c>
      <c r="P112" t="s">
        <v>39</v>
      </c>
    </row>
    <row r="113" spans="1:16">
      <c r="A113">
        <v>1112</v>
      </c>
      <c r="B113" s="30" t="s">
        <v>207</v>
      </c>
      <c r="C113" s="33">
        <f>MONTH(Table1[[#This Row],[Date]])</f>
        <v>9</v>
      </c>
      <c r="D113" t="s">
        <v>28</v>
      </c>
      <c r="E113" t="s">
        <v>29</v>
      </c>
      <c r="F113" t="s">
        <v>23</v>
      </c>
      <c r="G113" t="s">
        <v>37</v>
      </c>
      <c r="H113" t="s">
        <v>38</v>
      </c>
      <c r="I113">
        <v>8</v>
      </c>
      <c r="J113">
        <v>20858</v>
      </c>
      <c r="K113">
        <f>Table1[[#This Row],[Quantity]]*Table1[[#This Row],[Unit Price]]</f>
        <v>166864</v>
      </c>
      <c r="L113">
        <f>Table1[[#This Row],[Sales]]*Table1[[#This Row],[Discount]]</f>
        <v>5005.92</v>
      </c>
      <c r="M113">
        <f>Table1[[#This Row],[Sales]]-Table1[[#This Row],[dis]]</f>
        <v>161858.07999999999</v>
      </c>
      <c r="N113">
        <v>0.03</v>
      </c>
      <c r="O113" t="s">
        <v>18</v>
      </c>
      <c r="P113" t="s">
        <v>26</v>
      </c>
    </row>
    <row r="114" spans="1:16">
      <c r="A114">
        <v>1113</v>
      </c>
      <c r="B114" s="30" t="s">
        <v>208</v>
      </c>
      <c r="C114" s="33">
        <f>MONTH(Table1[[#This Row],[Date]])</f>
        <v>9</v>
      </c>
      <c r="D114" t="s">
        <v>28</v>
      </c>
      <c r="E114" t="s">
        <v>46</v>
      </c>
      <c r="F114" t="s">
        <v>15</v>
      </c>
      <c r="G114" t="s">
        <v>85</v>
      </c>
      <c r="H114" t="s">
        <v>151</v>
      </c>
      <c r="I114">
        <v>5</v>
      </c>
      <c r="J114">
        <v>34695</v>
      </c>
      <c r="K114">
        <f>Table1[[#This Row],[Quantity]]*Table1[[#This Row],[Unit Price]]</f>
        <v>173475</v>
      </c>
      <c r="L114">
        <f>Table1[[#This Row],[Sales]]*Table1[[#This Row],[Discount]]</f>
        <v>13878</v>
      </c>
      <c r="M114">
        <f>Table1[[#This Row],[Sales]]-Table1[[#This Row],[dis]]</f>
        <v>159597</v>
      </c>
      <c r="N114">
        <v>0.08</v>
      </c>
      <c r="O114" t="s">
        <v>33</v>
      </c>
      <c r="P114" t="s">
        <v>103</v>
      </c>
    </row>
    <row r="115" spans="1:16">
      <c r="A115">
        <v>1114</v>
      </c>
      <c r="B115" s="30" t="s">
        <v>113</v>
      </c>
      <c r="C115" s="33">
        <f>MONTH(Table1[[#This Row],[Date]])</f>
        <v>2</v>
      </c>
      <c r="D115" t="s">
        <v>69</v>
      </c>
      <c r="E115" t="s">
        <v>75</v>
      </c>
      <c r="F115" t="s">
        <v>15</v>
      </c>
      <c r="G115" t="s">
        <v>50</v>
      </c>
      <c r="H115" t="s">
        <v>51</v>
      </c>
      <c r="I115">
        <v>2</v>
      </c>
      <c r="J115">
        <v>37272</v>
      </c>
      <c r="K115">
        <f>Table1[[#This Row],[Quantity]]*Table1[[#This Row],[Unit Price]]</f>
        <v>74544</v>
      </c>
      <c r="L115">
        <f>Table1[[#This Row],[Sales]]*Table1[[#This Row],[Discount]]</f>
        <v>11181.6</v>
      </c>
      <c r="M115">
        <f>Table1[[#This Row],[Sales]]-Table1[[#This Row],[dis]]</f>
        <v>63362.400000000001</v>
      </c>
      <c r="N115">
        <v>0.15</v>
      </c>
      <c r="O115" t="s">
        <v>33</v>
      </c>
      <c r="P115" t="s">
        <v>103</v>
      </c>
    </row>
    <row r="116" spans="1:16">
      <c r="A116">
        <v>1115</v>
      </c>
      <c r="B116" s="30" t="s">
        <v>209</v>
      </c>
      <c r="C116" s="33">
        <f>MONTH(Table1[[#This Row],[Date]])</f>
        <v>12</v>
      </c>
      <c r="D116" t="s">
        <v>69</v>
      </c>
      <c r="E116" t="s">
        <v>111</v>
      </c>
      <c r="F116" t="s">
        <v>41</v>
      </c>
      <c r="G116" t="s">
        <v>47</v>
      </c>
      <c r="H116" t="s">
        <v>129</v>
      </c>
      <c r="I116">
        <v>2</v>
      </c>
      <c r="J116">
        <v>33825</v>
      </c>
      <c r="K116">
        <f>Table1[[#This Row],[Quantity]]*Table1[[#This Row],[Unit Price]]</f>
        <v>67650</v>
      </c>
      <c r="L116">
        <f>Table1[[#This Row],[Sales]]*Table1[[#This Row],[Discount]]</f>
        <v>8794.5</v>
      </c>
      <c r="M116">
        <f>Table1[[#This Row],[Sales]]-Table1[[#This Row],[dis]]</f>
        <v>58855.5</v>
      </c>
      <c r="N116">
        <v>0.13</v>
      </c>
      <c r="O116" t="s">
        <v>33</v>
      </c>
      <c r="P116" t="s">
        <v>26</v>
      </c>
    </row>
    <row r="117" spans="1:16">
      <c r="A117">
        <v>1116</v>
      </c>
      <c r="B117" s="30" t="s">
        <v>210</v>
      </c>
      <c r="C117" s="33">
        <f>MONTH(Table1[[#This Row],[Date]])</f>
        <v>7</v>
      </c>
      <c r="D117" t="s">
        <v>69</v>
      </c>
      <c r="E117" t="s">
        <v>72</v>
      </c>
      <c r="F117" t="s">
        <v>15</v>
      </c>
      <c r="G117" t="s">
        <v>16</v>
      </c>
      <c r="H117" t="s">
        <v>127</v>
      </c>
      <c r="I117">
        <v>4</v>
      </c>
      <c r="J117">
        <v>44357</v>
      </c>
      <c r="K117">
        <f>Table1[[#This Row],[Quantity]]*Table1[[#This Row],[Unit Price]]</f>
        <v>177428</v>
      </c>
      <c r="L117">
        <f>Table1[[#This Row],[Sales]]*Table1[[#This Row],[Discount]]</f>
        <v>7097.12</v>
      </c>
      <c r="M117">
        <f>Table1[[#This Row],[Sales]]-Table1[[#This Row],[dis]]</f>
        <v>170330.88</v>
      </c>
      <c r="N117">
        <v>0.04</v>
      </c>
      <c r="O117" t="s">
        <v>18</v>
      </c>
      <c r="P117" t="s">
        <v>39</v>
      </c>
    </row>
    <row r="118" spans="1:16">
      <c r="A118">
        <v>1117</v>
      </c>
      <c r="B118" s="30" t="s">
        <v>74</v>
      </c>
      <c r="C118" s="33">
        <f>MONTH(Table1[[#This Row],[Date]])</f>
        <v>7</v>
      </c>
      <c r="D118" t="s">
        <v>13</v>
      </c>
      <c r="E118" t="s">
        <v>82</v>
      </c>
      <c r="F118" t="s">
        <v>23</v>
      </c>
      <c r="G118" t="s">
        <v>24</v>
      </c>
      <c r="H118" t="s">
        <v>94</v>
      </c>
      <c r="I118">
        <v>2</v>
      </c>
      <c r="J118">
        <v>47689</v>
      </c>
      <c r="K118">
        <f>Table1[[#This Row],[Quantity]]*Table1[[#This Row],[Unit Price]]</f>
        <v>95378</v>
      </c>
      <c r="L118">
        <f>Table1[[#This Row],[Sales]]*Table1[[#This Row],[Discount]]</f>
        <v>7630.24</v>
      </c>
      <c r="M118">
        <f>Table1[[#This Row],[Sales]]-Table1[[#This Row],[dis]]</f>
        <v>87747.76</v>
      </c>
      <c r="N118">
        <v>0.08</v>
      </c>
      <c r="O118" t="s">
        <v>33</v>
      </c>
      <c r="P118" t="s">
        <v>34</v>
      </c>
    </row>
    <row r="119" spans="1:16">
      <c r="A119">
        <v>1118</v>
      </c>
      <c r="B119" s="30" t="s">
        <v>211</v>
      </c>
      <c r="C119" s="33">
        <f>MONTH(Table1[[#This Row],[Date]])</f>
        <v>6</v>
      </c>
      <c r="D119" t="s">
        <v>21</v>
      </c>
      <c r="E119" t="s">
        <v>22</v>
      </c>
      <c r="F119" t="s">
        <v>41</v>
      </c>
      <c r="G119" t="s">
        <v>42</v>
      </c>
      <c r="H119" t="s">
        <v>43</v>
      </c>
      <c r="I119">
        <v>4</v>
      </c>
      <c r="J119">
        <v>29509</v>
      </c>
      <c r="K119">
        <f>Table1[[#This Row],[Quantity]]*Table1[[#This Row],[Unit Price]]</f>
        <v>118036</v>
      </c>
      <c r="L119">
        <f>Table1[[#This Row],[Sales]]*Table1[[#This Row],[Discount]]</f>
        <v>11803.6</v>
      </c>
      <c r="M119">
        <f>Table1[[#This Row],[Sales]]-Table1[[#This Row],[dis]]</f>
        <v>106232.4</v>
      </c>
      <c r="N119">
        <v>0.1</v>
      </c>
      <c r="O119" t="s">
        <v>18</v>
      </c>
      <c r="P119" t="s">
        <v>19</v>
      </c>
    </row>
    <row r="120" spans="1:16">
      <c r="A120">
        <v>1119</v>
      </c>
      <c r="B120" s="30" t="s">
        <v>212</v>
      </c>
      <c r="C120" s="33">
        <f>MONTH(Table1[[#This Row],[Date]])</f>
        <v>2</v>
      </c>
      <c r="D120" t="s">
        <v>13</v>
      </c>
      <c r="E120" t="s">
        <v>14</v>
      </c>
      <c r="F120" t="s">
        <v>15</v>
      </c>
      <c r="G120" t="s">
        <v>85</v>
      </c>
      <c r="H120" t="s">
        <v>151</v>
      </c>
      <c r="I120">
        <v>1</v>
      </c>
      <c r="J120">
        <v>9756</v>
      </c>
      <c r="K120">
        <f>Table1[[#This Row],[Quantity]]*Table1[[#This Row],[Unit Price]]</f>
        <v>9756</v>
      </c>
      <c r="L120">
        <f>Table1[[#This Row],[Sales]]*Table1[[#This Row],[Discount]]</f>
        <v>1073.1600000000001</v>
      </c>
      <c r="M120">
        <f>Table1[[#This Row],[Sales]]-Table1[[#This Row],[dis]]</f>
        <v>8682.84</v>
      </c>
      <c r="N120">
        <v>0.11</v>
      </c>
      <c r="O120" t="s">
        <v>33</v>
      </c>
      <c r="P120" t="s">
        <v>44</v>
      </c>
    </row>
    <row r="121" spans="1:16">
      <c r="A121">
        <v>1120</v>
      </c>
      <c r="B121" s="30" t="s">
        <v>188</v>
      </c>
      <c r="C121" s="33">
        <f>MONTH(Table1[[#This Row],[Date]])</f>
        <v>2</v>
      </c>
      <c r="D121" t="s">
        <v>21</v>
      </c>
      <c r="E121" t="s">
        <v>60</v>
      </c>
      <c r="F121" t="s">
        <v>30</v>
      </c>
      <c r="G121" t="s">
        <v>66</v>
      </c>
      <c r="H121" t="s">
        <v>67</v>
      </c>
      <c r="I121">
        <v>10</v>
      </c>
      <c r="J121">
        <v>36997</v>
      </c>
      <c r="K121">
        <f>Table1[[#This Row],[Quantity]]*Table1[[#This Row],[Unit Price]]</f>
        <v>369970</v>
      </c>
      <c r="L121">
        <f>Table1[[#This Row],[Sales]]*Table1[[#This Row],[Discount]]</f>
        <v>18498.5</v>
      </c>
      <c r="M121">
        <f>Table1[[#This Row],[Sales]]-Table1[[#This Row],[dis]]</f>
        <v>351471.5</v>
      </c>
      <c r="N121">
        <v>0.05</v>
      </c>
      <c r="O121" t="s">
        <v>33</v>
      </c>
      <c r="P121" t="s">
        <v>63</v>
      </c>
    </row>
    <row r="122" spans="1:16">
      <c r="A122">
        <v>1121</v>
      </c>
      <c r="B122" s="30" t="s">
        <v>213</v>
      </c>
      <c r="C122" s="33">
        <f>MONTH(Table1[[#This Row],[Date]])</f>
        <v>6</v>
      </c>
      <c r="D122" t="s">
        <v>21</v>
      </c>
      <c r="E122" t="s">
        <v>60</v>
      </c>
      <c r="F122" t="s">
        <v>15</v>
      </c>
      <c r="G122" t="s">
        <v>50</v>
      </c>
      <c r="H122" t="s">
        <v>120</v>
      </c>
      <c r="I122">
        <v>8</v>
      </c>
      <c r="J122">
        <v>38256</v>
      </c>
      <c r="K122">
        <f>Table1[[#This Row],[Quantity]]*Table1[[#This Row],[Unit Price]]</f>
        <v>306048</v>
      </c>
      <c r="L122">
        <f>Table1[[#This Row],[Sales]]*Table1[[#This Row],[Discount]]</f>
        <v>45907.199999999997</v>
      </c>
      <c r="M122">
        <f>Table1[[#This Row],[Sales]]-Table1[[#This Row],[dis]]</f>
        <v>260140.79999999999</v>
      </c>
      <c r="N122">
        <v>0.15</v>
      </c>
      <c r="O122" t="s">
        <v>18</v>
      </c>
      <c r="P122" t="s">
        <v>44</v>
      </c>
    </row>
    <row r="123" spans="1:16">
      <c r="A123">
        <v>1122</v>
      </c>
      <c r="B123" s="30" t="s">
        <v>214</v>
      </c>
      <c r="C123" s="33">
        <f>MONTH(Table1[[#This Row],[Date]])</f>
        <v>10</v>
      </c>
      <c r="D123" t="s">
        <v>13</v>
      </c>
      <c r="E123" t="s">
        <v>93</v>
      </c>
      <c r="F123" t="s">
        <v>30</v>
      </c>
      <c r="G123" t="s">
        <v>31</v>
      </c>
      <c r="H123" t="s">
        <v>88</v>
      </c>
      <c r="I123">
        <v>2</v>
      </c>
      <c r="J123">
        <v>13301</v>
      </c>
      <c r="K123">
        <f>Table1[[#This Row],[Quantity]]*Table1[[#This Row],[Unit Price]]</f>
        <v>26602</v>
      </c>
      <c r="L123">
        <f>Table1[[#This Row],[Sales]]*Table1[[#This Row],[Discount]]</f>
        <v>1596.12</v>
      </c>
      <c r="M123">
        <f>Table1[[#This Row],[Sales]]-Table1[[#This Row],[dis]]</f>
        <v>25005.88</v>
      </c>
      <c r="N123">
        <v>0.06</v>
      </c>
      <c r="O123" t="s">
        <v>18</v>
      </c>
      <c r="P123" t="s">
        <v>26</v>
      </c>
    </row>
    <row r="124" spans="1:16">
      <c r="A124">
        <v>1123</v>
      </c>
      <c r="B124" s="30" t="s">
        <v>215</v>
      </c>
      <c r="C124" s="33">
        <f>MONTH(Table1[[#This Row],[Date]])</f>
        <v>9</v>
      </c>
      <c r="D124" t="s">
        <v>21</v>
      </c>
      <c r="E124" t="s">
        <v>22</v>
      </c>
      <c r="F124" t="s">
        <v>23</v>
      </c>
      <c r="G124" t="s">
        <v>24</v>
      </c>
      <c r="H124" t="s">
        <v>94</v>
      </c>
      <c r="I124">
        <v>4</v>
      </c>
      <c r="J124">
        <v>33262</v>
      </c>
      <c r="K124">
        <f>Table1[[#This Row],[Quantity]]*Table1[[#This Row],[Unit Price]]</f>
        <v>133048</v>
      </c>
      <c r="L124">
        <f>Table1[[#This Row],[Sales]]*Table1[[#This Row],[Discount]]</f>
        <v>1330.48</v>
      </c>
      <c r="M124">
        <f>Table1[[#This Row],[Sales]]-Table1[[#This Row],[dis]]</f>
        <v>131717.51999999999</v>
      </c>
      <c r="N124">
        <v>0.01</v>
      </c>
      <c r="O124" t="s">
        <v>33</v>
      </c>
      <c r="P124" t="s">
        <v>103</v>
      </c>
    </row>
    <row r="125" spans="1:16">
      <c r="A125">
        <v>1124</v>
      </c>
      <c r="B125" s="30" t="s">
        <v>102</v>
      </c>
      <c r="C125" s="33">
        <f>MONTH(Table1[[#This Row],[Date]])</f>
        <v>9</v>
      </c>
      <c r="D125" t="s">
        <v>69</v>
      </c>
      <c r="E125" t="s">
        <v>111</v>
      </c>
      <c r="F125" t="s">
        <v>30</v>
      </c>
      <c r="G125" t="s">
        <v>66</v>
      </c>
      <c r="H125" t="s">
        <v>199</v>
      </c>
      <c r="I125">
        <v>5</v>
      </c>
      <c r="J125">
        <v>33264</v>
      </c>
      <c r="K125">
        <f>Table1[[#This Row],[Quantity]]*Table1[[#This Row],[Unit Price]]</f>
        <v>166320</v>
      </c>
      <c r="L125">
        <f>Table1[[#This Row],[Sales]]*Table1[[#This Row],[Discount]]</f>
        <v>23284.800000000003</v>
      </c>
      <c r="M125">
        <f>Table1[[#This Row],[Sales]]-Table1[[#This Row],[dis]]</f>
        <v>143035.20000000001</v>
      </c>
      <c r="N125">
        <v>0.14000000000000001</v>
      </c>
      <c r="O125" t="s">
        <v>33</v>
      </c>
      <c r="P125" t="s">
        <v>44</v>
      </c>
    </row>
    <row r="126" spans="1:16">
      <c r="A126">
        <v>1125</v>
      </c>
      <c r="B126" s="30" t="s">
        <v>216</v>
      </c>
      <c r="C126" s="33">
        <f>MONTH(Table1[[#This Row],[Date]])</f>
        <v>9</v>
      </c>
      <c r="D126" t="s">
        <v>69</v>
      </c>
      <c r="E126" t="s">
        <v>70</v>
      </c>
      <c r="F126" t="s">
        <v>41</v>
      </c>
      <c r="G126" t="s">
        <v>42</v>
      </c>
      <c r="H126" t="s">
        <v>90</v>
      </c>
      <c r="I126">
        <v>6</v>
      </c>
      <c r="J126">
        <v>15918</v>
      </c>
      <c r="K126">
        <f>Table1[[#This Row],[Quantity]]*Table1[[#This Row],[Unit Price]]</f>
        <v>95508</v>
      </c>
      <c r="L126">
        <f>Table1[[#This Row],[Sales]]*Table1[[#This Row],[Discount]]</f>
        <v>9550.8000000000011</v>
      </c>
      <c r="M126">
        <f>Table1[[#This Row],[Sales]]-Table1[[#This Row],[dis]]</f>
        <v>85957.2</v>
      </c>
      <c r="N126">
        <v>0.1</v>
      </c>
      <c r="O126" t="s">
        <v>33</v>
      </c>
      <c r="P126" t="s">
        <v>26</v>
      </c>
    </row>
    <row r="127" spans="1:16">
      <c r="A127">
        <v>1126</v>
      </c>
      <c r="B127" s="30" t="s">
        <v>35</v>
      </c>
      <c r="C127" s="33">
        <f>MONTH(Table1[[#This Row],[Date]])</f>
        <v>8</v>
      </c>
      <c r="D127" t="s">
        <v>13</v>
      </c>
      <c r="E127" t="s">
        <v>141</v>
      </c>
      <c r="F127" t="s">
        <v>15</v>
      </c>
      <c r="G127" t="s">
        <v>16</v>
      </c>
      <c r="H127" t="s">
        <v>127</v>
      </c>
      <c r="I127">
        <v>10</v>
      </c>
      <c r="J127">
        <v>27819</v>
      </c>
      <c r="K127">
        <f>Table1[[#This Row],[Quantity]]*Table1[[#This Row],[Unit Price]]</f>
        <v>278190</v>
      </c>
      <c r="L127">
        <f>Table1[[#This Row],[Sales]]*Table1[[#This Row],[Discount]]</f>
        <v>50074.2</v>
      </c>
      <c r="M127">
        <f>Table1[[#This Row],[Sales]]-Table1[[#This Row],[dis]]</f>
        <v>228115.8</v>
      </c>
      <c r="N127">
        <v>0.18</v>
      </c>
      <c r="O127" t="s">
        <v>33</v>
      </c>
      <c r="P127" t="s">
        <v>26</v>
      </c>
    </row>
    <row r="128" spans="1:16">
      <c r="A128">
        <v>1127</v>
      </c>
      <c r="B128" s="30" t="s">
        <v>217</v>
      </c>
      <c r="C128" s="33">
        <f>MONTH(Table1[[#This Row],[Date]])</f>
        <v>5</v>
      </c>
      <c r="D128" t="s">
        <v>21</v>
      </c>
      <c r="E128" t="s">
        <v>22</v>
      </c>
      <c r="F128" t="s">
        <v>30</v>
      </c>
      <c r="G128" t="s">
        <v>61</v>
      </c>
      <c r="H128" t="s">
        <v>153</v>
      </c>
      <c r="I128">
        <v>6</v>
      </c>
      <c r="J128">
        <v>37811</v>
      </c>
      <c r="K128">
        <f>Table1[[#This Row],[Quantity]]*Table1[[#This Row],[Unit Price]]</f>
        <v>226866</v>
      </c>
      <c r="L128">
        <f>Table1[[#This Row],[Sales]]*Table1[[#This Row],[Discount]]</f>
        <v>20417.939999999999</v>
      </c>
      <c r="M128">
        <f>Table1[[#This Row],[Sales]]-Table1[[#This Row],[dis]]</f>
        <v>206448.06</v>
      </c>
      <c r="N128">
        <v>0.09</v>
      </c>
      <c r="O128" t="s">
        <v>33</v>
      </c>
      <c r="P128" t="s">
        <v>19</v>
      </c>
    </row>
    <row r="129" spans="1:16">
      <c r="A129">
        <v>1128</v>
      </c>
      <c r="B129" s="30" t="s">
        <v>218</v>
      </c>
      <c r="C129" s="33">
        <f>MONTH(Table1[[#This Row],[Date]])</f>
        <v>10</v>
      </c>
      <c r="D129" t="s">
        <v>69</v>
      </c>
      <c r="E129" t="s">
        <v>70</v>
      </c>
      <c r="F129" t="s">
        <v>15</v>
      </c>
      <c r="G129" t="s">
        <v>100</v>
      </c>
      <c r="H129" t="s">
        <v>219</v>
      </c>
      <c r="I129">
        <v>9</v>
      </c>
      <c r="J129">
        <v>4856</v>
      </c>
      <c r="K129">
        <f>Table1[[#This Row],[Quantity]]*Table1[[#This Row],[Unit Price]]</f>
        <v>43704</v>
      </c>
      <c r="L129">
        <f>Table1[[#This Row],[Sales]]*Table1[[#This Row],[Discount]]</f>
        <v>1311.12</v>
      </c>
      <c r="M129">
        <f>Table1[[#This Row],[Sales]]-Table1[[#This Row],[dis]]</f>
        <v>42392.88</v>
      </c>
      <c r="N129">
        <v>0.03</v>
      </c>
      <c r="O129" t="s">
        <v>18</v>
      </c>
      <c r="P129" t="s">
        <v>103</v>
      </c>
    </row>
    <row r="130" spans="1:16">
      <c r="A130">
        <v>1129</v>
      </c>
      <c r="B130" s="30" t="s">
        <v>220</v>
      </c>
      <c r="C130" s="33">
        <f>MONTH(Table1[[#This Row],[Date]])</f>
        <v>9</v>
      </c>
      <c r="D130" t="s">
        <v>21</v>
      </c>
      <c r="E130" t="s">
        <v>22</v>
      </c>
      <c r="F130" t="s">
        <v>23</v>
      </c>
      <c r="G130" t="s">
        <v>37</v>
      </c>
      <c r="H130" t="s">
        <v>221</v>
      </c>
      <c r="I130">
        <v>7</v>
      </c>
      <c r="J130">
        <v>35218</v>
      </c>
      <c r="K130">
        <f>Table1[[#This Row],[Quantity]]*Table1[[#This Row],[Unit Price]]</f>
        <v>246526</v>
      </c>
      <c r="L130">
        <f>Table1[[#This Row],[Sales]]*Table1[[#This Row],[Discount]]</f>
        <v>12326.300000000001</v>
      </c>
      <c r="M130">
        <f>Table1[[#This Row],[Sales]]-Table1[[#This Row],[dis]]</f>
        <v>234199.7</v>
      </c>
      <c r="N130">
        <v>0.05</v>
      </c>
      <c r="O130" t="s">
        <v>33</v>
      </c>
      <c r="P130" t="s">
        <v>26</v>
      </c>
    </row>
    <row r="131" spans="1:16">
      <c r="A131">
        <v>1130</v>
      </c>
      <c r="B131" s="30" t="s">
        <v>222</v>
      </c>
      <c r="C131" s="33">
        <f>MONTH(Table1[[#This Row],[Date]])</f>
        <v>3</v>
      </c>
      <c r="D131" t="s">
        <v>21</v>
      </c>
      <c r="E131" t="s">
        <v>60</v>
      </c>
      <c r="F131" t="s">
        <v>23</v>
      </c>
      <c r="G131" t="s">
        <v>131</v>
      </c>
      <c r="H131" t="s">
        <v>223</v>
      </c>
      <c r="I131">
        <v>5</v>
      </c>
      <c r="J131">
        <v>26481</v>
      </c>
      <c r="K131">
        <f>Table1[[#This Row],[Quantity]]*Table1[[#This Row],[Unit Price]]</f>
        <v>132405</v>
      </c>
      <c r="L131">
        <f>Table1[[#This Row],[Sales]]*Table1[[#This Row],[Discount]]</f>
        <v>10592.4</v>
      </c>
      <c r="M131">
        <f>Table1[[#This Row],[Sales]]-Table1[[#This Row],[dis]]</f>
        <v>121812.6</v>
      </c>
      <c r="N131">
        <v>0.08</v>
      </c>
      <c r="O131" t="s">
        <v>18</v>
      </c>
      <c r="P131" t="s">
        <v>73</v>
      </c>
    </row>
    <row r="132" spans="1:16">
      <c r="A132">
        <v>1131</v>
      </c>
      <c r="B132" s="30" t="s">
        <v>224</v>
      </c>
      <c r="C132" s="33">
        <f>MONTH(Table1[[#This Row],[Date]])</f>
        <v>10</v>
      </c>
      <c r="D132" t="s">
        <v>21</v>
      </c>
      <c r="E132" t="s">
        <v>60</v>
      </c>
      <c r="F132" t="s">
        <v>23</v>
      </c>
      <c r="G132" t="s">
        <v>24</v>
      </c>
      <c r="H132" t="s">
        <v>98</v>
      </c>
      <c r="I132">
        <v>10</v>
      </c>
      <c r="J132">
        <v>1790</v>
      </c>
      <c r="K132">
        <f>Table1[[#This Row],[Quantity]]*Table1[[#This Row],[Unit Price]]</f>
        <v>17900</v>
      </c>
      <c r="L132">
        <f>Table1[[#This Row],[Sales]]*Table1[[#This Row],[Discount]]</f>
        <v>358</v>
      </c>
      <c r="M132">
        <f>Table1[[#This Row],[Sales]]-Table1[[#This Row],[dis]]</f>
        <v>17542</v>
      </c>
      <c r="N132">
        <v>0.02</v>
      </c>
      <c r="O132" t="s">
        <v>33</v>
      </c>
      <c r="P132" t="s">
        <v>73</v>
      </c>
    </row>
    <row r="133" spans="1:16">
      <c r="A133">
        <v>1132</v>
      </c>
      <c r="B133" s="30" t="s">
        <v>211</v>
      </c>
      <c r="C133" s="33">
        <f>MONTH(Table1[[#This Row],[Date]])</f>
        <v>6</v>
      </c>
      <c r="D133" t="s">
        <v>28</v>
      </c>
      <c r="E133" t="s">
        <v>36</v>
      </c>
      <c r="F133" t="s">
        <v>15</v>
      </c>
      <c r="G133" t="s">
        <v>100</v>
      </c>
      <c r="H133" t="s">
        <v>219</v>
      </c>
      <c r="I133">
        <v>8</v>
      </c>
      <c r="J133">
        <v>16223</v>
      </c>
      <c r="K133">
        <f>Table1[[#This Row],[Quantity]]*Table1[[#This Row],[Unit Price]]</f>
        <v>129784</v>
      </c>
      <c r="L133">
        <f>Table1[[#This Row],[Sales]]*Table1[[#This Row],[Discount]]</f>
        <v>25956.800000000003</v>
      </c>
      <c r="M133">
        <f>Table1[[#This Row],[Sales]]-Table1[[#This Row],[dis]]</f>
        <v>103827.2</v>
      </c>
      <c r="N133">
        <v>0.2</v>
      </c>
      <c r="O133" t="s">
        <v>18</v>
      </c>
      <c r="P133" t="s">
        <v>103</v>
      </c>
    </row>
    <row r="134" spans="1:16">
      <c r="A134">
        <v>1133</v>
      </c>
      <c r="B134" s="30" t="s">
        <v>133</v>
      </c>
      <c r="C134" s="33">
        <f>MONTH(Table1[[#This Row],[Date]])</f>
        <v>5</v>
      </c>
      <c r="D134" t="s">
        <v>13</v>
      </c>
      <c r="E134" t="s">
        <v>14</v>
      </c>
      <c r="F134" t="s">
        <v>41</v>
      </c>
      <c r="G134" t="s">
        <v>47</v>
      </c>
      <c r="H134" t="s">
        <v>48</v>
      </c>
      <c r="I134">
        <v>4</v>
      </c>
      <c r="J134">
        <v>30803</v>
      </c>
      <c r="K134">
        <f>Table1[[#This Row],[Quantity]]*Table1[[#This Row],[Unit Price]]</f>
        <v>123212</v>
      </c>
      <c r="L134">
        <f>Table1[[#This Row],[Sales]]*Table1[[#This Row],[Discount]]</f>
        <v>16017.560000000001</v>
      </c>
      <c r="M134">
        <f>Table1[[#This Row],[Sales]]-Table1[[#This Row],[dis]]</f>
        <v>107194.44</v>
      </c>
      <c r="N134">
        <v>0.13</v>
      </c>
      <c r="O134" t="s">
        <v>18</v>
      </c>
      <c r="P134" t="s">
        <v>39</v>
      </c>
    </row>
    <row r="135" spans="1:16">
      <c r="A135">
        <v>1134</v>
      </c>
      <c r="B135" s="30" t="s">
        <v>206</v>
      </c>
      <c r="C135" s="33">
        <f>MONTH(Table1[[#This Row],[Date]])</f>
        <v>12</v>
      </c>
      <c r="D135" t="s">
        <v>13</v>
      </c>
      <c r="E135" t="s">
        <v>141</v>
      </c>
      <c r="F135" t="s">
        <v>30</v>
      </c>
      <c r="G135" t="s">
        <v>61</v>
      </c>
      <c r="H135" t="s">
        <v>163</v>
      </c>
      <c r="I135">
        <v>2</v>
      </c>
      <c r="J135">
        <v>28038</v>
      </c>
      <c r="K135">
        <f>Table1[[#This Row],[Quantity]]*Table1[[#This Row],[Unit Price]]</f>
        <v>56076</v>
      </c>
      <c r="L135">
        <f>Table1[[#This Row],[Sales]]*Table1[[#This Row],[Discount]]</f>
        <v>2243.04</v>
      </c>
      <c r="M135">
        <f>Table1[[#This Row],[Sales]]-Table1[[#This Row],[dis]]</f>
        <v>53832.959999999999</v>
      </c>
      <c r="N135">
        <v>0.04</v>
      </c>
      <c r="O135" t="s">
        <v>33</v>
      </c>
      <c r="P135" t="s">
        <v>103</v>
      </c>
    </row>
    <row r="136" spans="1:16">
      <c r="A136">
        <v>1135</v>
      </c>
      <c r="B136" s="30" t="s">
        <v>225</v>
      </c>
      <c r="C136" s="33">
        <f>MONTH(Table1[[#This Row],[Date]])</f>
        <v>1</v>
      </c>
      <c r="D136" t="s">
        <v>13</v>
      </c>
      <c r="E136" t="s">
        <v>141</v>
      </c>
      <c r="F136" t="s">
        <v>30</v>
      </c>
      <c r="G136" t="s">
        <v>55</v>
      </c>
      <c r="H136" t="s">
        <v>150</v>
      </c>
      <c r="I136">
        <v>7</v>
      </c>
      <c r="J136">
        <v>27126</v>
      </c>
      <c r="K136">
        <f>Table1[[#This Row],[Quantity]]*Table1[[#This Row],[Unit Price]]</f>
        <v>189882</v>
      </c>
      <c r="L136">
        <f>Table1[[#This Row],[Sales]]*Table1[[#This Row],[Discount]]</f>
        <v>30381.119999999999</v>
      </c>
      <c r="M136">
        <f>Table1[[#This Row],[Sales]]-Table1[[#This Row],[dis]]</f>
        <v>159500.88</v>
      </c>
      <c r="N136">
        <v>0.16</v>
      </c>
      <c r="O136" t="s">
        <v>18</v>
      </c>
      <c r="P136" t="s">
        <v>63</v>
      </c>
    </row>
    <row r="137" spans="1:16">
      <c r="A137">
        <v>1136</v>
      </c>
      <c r="B137" s="30" t="s">
        <v>222</v>
      </c>
      <c r="C137" s="33">
        <f>MONTH(Table1[[#This Row],[Date]])</f>
        <v>3</v>
      </c>
      <c r="D137" t="s">
        <v>21</v>
      </c>
      <c r="E137" t="s">
        <v>80</v>
      </c>
      <c r="F137" t="s">
        <v>23</v>
      </c>
      <c r="G137" t="s">
        <v>37</v>
      </c>
      <c r="H137" t="s">
        <v>38</v>
      </c>
      <c r="I137">
        <v>1</v>
      </c>
      <c r="J137">
        <v>34167</v>
      </c>
      <c r="K137">
        <f>Table1[[#This Row],[Quantity]]*Table1[[#This Row],[Unit Price]]</f>
        <v>34167</v>
      </c>
      <c r="L137">
        <f>Table1[[#This Row],[Sales]]*Table1[[#This Row],[Discount]]</f>
        <v>4783.38</v>
      </c>
      <c r="M137">
        <f>Table1[[#This Row],[Sales]]-Table1[[#This Row],[dis]]</f>
        <v>29383.62</v>
      </c>
      <c r="N137">
        <v>0.14000000000000001</v>
      </c>
      <c r="O137" t="s">
        <v>33</v>
      </c>
      <c r="P137" t="s">
        <v>34</v>
      </c>
    </row>
    <row r="138" spans="1:16">
      <c r="A138">
        <v>1137</v>
      </c>
      <c r="B138" s="30" t="s">
        <v>117</v>
      </c>
      <c r="C138" s="33">
        <f>MONTH(Table1[[#This Row],[Date]])</f>
        <v>5</v>
      </c>
      <c r="D138" t="s">
        <v>69</v>
      </c>
      <c r="E138" t="s">
        <v>70</v>
      </c>
      <c r="F138" t="s">
        <v>15</v>
      </c>
      <c r="G138" t="s">
        <v>16</v>
      </c>
      <c r="H138" t="s">
        <v>53</v>
      </c>
      <c r="I138">
        <v>9</v>
      </c>
      <c r="J138">
        <v>17362</v>
      </c>
      <c r="K138">
        <f>Table1[[#This Row],[Quantity]]*Table1[[#This Row],[Unit Price]]</f>
        <v>156258</v>
      </c>
      <c r="L138">
        <f>Table1[[#This Row],[Sales]]*Table1[[#This Row],[Discount]]</f>
        <v>20313.54</v>
      </c>
      <c r="M138">
        <f>Table1[[#This Row],[Sales]]-Table1[[#This Row],[dis]]</f>
        <v>135944.46</v>
      </c>
      <c r="N138">
        <v>0.13</v>
      </c>
      <c r="O138" t="s">
        <v>18</v>
      </c>
      <c r="P138" t="s">
        <v>19</v>
      </c>
    </row>
    <row r="139" spans="1:16">
      <c r="A139">
        <v>1138</v>
      </c>
      <c r="B139" s="30" t="s">
        <v>49</v>
      </c>
      <c r="C139" s="33">
        <f>MONTH(Table1[[#This Row],[Date]])</f>
        <v>7</v>
      </c>
      <c r="D139" t="s">
        <v>69</v>
      </c>
      <c r="E139" t="s">
        <v>111</v>
      </c>
      <c r="F139" t="s">
        <v>23</v>
      </c>
      <c r="G139" t="s">
        <v>155</v>
      </c>
      <c r="H139" t="s">
        <v>156</v>
      </c>
      <c r="I139">
        <v>5</v>
      </c>
      <c r="J139">
        <v>29948</v>
      </c>
      <c r="K139">
        <f>Table1[[#This Row],[Quantity]]*Table1[[#This Row],[Unit Price]]</f>
        <v>149740</v>
      </c>
      <c r="L139">
        <f>Table1[[#This Row],[Sales]]*Table1[[#This Row],[Discount]]</f>
        <v>20963.600000000002</v>
      </c>
      <c r="M139">
        <f>Table1[[#This Row],[Sales]]-Table1[[#This Row],[dis]]</f>
        <v>128776.4</v>
      </c>
      <c r="N139">
        <v>0.14000000000000001</v>
      </c>
      <c r="O139" t="s">
        <v>33</v>
      </c>
      <c r="P139" t="s">
        <v>26</v>
      </c>
    </row>
    <row r="140" spans="1:16">
      <c r="A140">
        <v>1139</v>
      </c>
      <c r="B140" s="30" t="s">
        <v>79</v>
      </c>
      <c r="C140" s="33">
        <f>MONTH(Table1[[#This Row],[Date]])</f>
        <v>9</v>
      </c>
      <c r="D140" t="s">
        <v>21</v>
      </c>
      <c r="E140" t="s">
        <v>114</v>
      </c>
      <c r="F140" t="s">
        <v>41</v>
      </c>
      <c r="G140" t="s">
        <v>115</v>
      </c>
      <c r="H140" t="s">
        <v>180</v>
      </c>
      <c r="I140">
        <v>4</v>
      </c>
      <c r="J140">
        <v>36239</v>
      </c>
      <c r="K140">
        <f>Table1[[#This Row],[Quantity]]*Table1[[#This Row],[Unit Price]]</f>
        <v>144956</v>
      </c>
      <c r="L140">
        <f>Table1[[#This Row],[Sales]]*Table1[[#This Row],[Discount]]</f>
        <v>23192.959999999999</v>
      </c>
      <c r="M140">
        <f>Table1[[#This Row],[Sales]]-Table1[[#This Row],[dis]]</f>
        <v>121763.04000000001</v>
      </c>
      <c r="N140">
        <v>0.16</v>
      </c>
      <c r="O140" t="s">
        <v>18</v>
      </c>
      <c r="P140" t="s">
        <v>44</v>
      </c>
    </row>
    <row r="141" spans="1:16">
      <c r="A141">
        <v>1140</v>
      </c>
      <c r="B141" s="30" t="s">
        <v>186</v>
      </c>
      <c r="C141" s="33">
        <f>MONTH(Table1[[#This Row],[Date]])</f>
        <v>3</v>
      </c>
      <c r="D141" t="s">
        <v>13</v>
      </c>
      <c r="E141" t="s">
        <v>82</v>
      </c>
      <c r="F141" t="s">
        <v>23</v>
      </c>
      <c r="G141" t="s">
        <v>24</v>
      </c>
      <c r="H141" t="s">
        <v>98</v>
      </c>
      <c r="I141">
        <v>10</v>
      </c>
      <c r="J141">
        <v>49292</v>
      </c>
      <c r="K141">
        <f>Table1[[#This Row],[Quantity]]*Table1[[#This Row],[Unit Price]]</f>
        <v>492920</v>
      </c>
      <c r="L141">
        <f>Table1[[#This Row],[Sales]]*Table1[[#This Row],[Discount]]</f>
        <v>29575.199999999997</v>
      </c>
      <c r="M141">
        <f>Table1[[#This Row],[Sales]]-Table1[[#This Row],[dis]]</f>
        <v>463344.8</v>
      </c>
      <c r="N141">
        <v>0.06</v>
      </c>
      <c r="O141" t="s">
        <v>18</v>
      </c>
      <c r="P141" t="s">
        <v>44</v>
      </c>
    </row>
    <row r="142" spans="1:16">
      <c r="A142">
        <v>1141</v>
      </c>
      <c r="B142" s="30" t="s">
        <v>226</v>
      </c>
      <c r="C142" s="33">
        <f>MONTH(Table1[[#This Row],[Date]])</f>
        <v>1</v>
      </c>
      <c r="D142" t="s">
        <v>13</v>
      </c>
      <c r="E142" t="s">
        <v>93</v>
      </c>
      <c r="F142" t="s">
        <v>30</v>
      </c>
      <c r="G142" t="s">
        <v>55</v>
      </c>
      <c r="H142" t="s">
        <v>112</v>
      </c>
      <c r="I142">
        <v>1</v>
      </c>
      <c r="J142">
        <v>22773</v>
      </c>
      <c r="K142">
        <f>Table1[[#This Row],[Quantity]]*Table1[[#This Row],[Unit Price]]</f>
        <v>22773</v>
      </c>
      <c r="L142">
        <f>Table1[[#This Row],[Sales]]*Table1[[#This Row],[Discount]]</f>
        <v>3188.2200000000003</v>
      </c>
      <c r="M142">
        <f>Table1[[#This Row],[Sales]]-Table1[[#This Row],[dis]]</f>
        <v>19584.78</v>
      </c>
      <c r="N142">
        <v>0.14000000000000001</v>
      </c>
      <c r="O142" t="s">
        <v>33</v>
      </c>
      <c r="P142" t="s">
        <v>63</v>
      </c>
    </row>
    <row r="143" spans="1:16">
      <c r="A143">
        <v>1142</v>
      </c>
      <c r="B143" s="30" t="s">
        <v>227</v>
      </c>
      <c r="C143" s="33">
        <f>MONTH(Table1[[#This Row],[Date]])</f>
        <v>2</v>
      </c>
      <c r="D143" t="s">
        <v>13</v>
      </c>
      <c r="E143" t="s">
        <v>82</v>
      </c>
      <c r="F143" t="s">
        <v>41</v>
      </c>
      <c r="G143" t="s">
        <v>76</v>
      </c>
      <c r="H143" t="s">
        <v>77</v>
      </c>
      <c r="I143">
        <v>3</v>
      </c>
      <c r="J143">
        <v>14188</v>
      </c>
      <c r="K143">
        <f>Table1[[#This Row],[Quantity]]*Table1[[#This Row],[Unit Price]]</f>
        <v>42564</v>
      </c>
      <c r="L143">
        <f>Table1[[#This Row],[Sales]]*Table1[[#This Row],[Discount]]</f>
        <v>6810.24</v>
      </c>
      <c r="M143">
        <f>Table1[[#This Row],[Sales]]-Table1[[#This Row],[dis]]</f>
        <v>35753.760000000002</v>
      </c>
      <c r="N143">
        <v>0.16</v>
      </c>
      <c r="O143" t="s">
        <v>18</v>
      </c>
      <c r="P143" t="s">
        <v>73</v>
      </c>
    </row>
    <row r="144" spans="1:16">
      <c r="A144">
        <v>1143</v>
      </c>
      <c r="B144" s="30" t="s">
        <v>187</v>
      </c>
      <c r="C144" s="33">
        <f>MONTH(Table1[[#This Row],[Date]])</f>
        <v>10</v>
      </c>
      <c r="D144" t="s">
        <v>13</v>
      </c>
      <c r="E144" t="s">
        <v>93</v>
      </c>
      <c r="F144" t="s">
        <v>41</v>
      </c>
      <c r="G144" t="s">
        <v>115</v>
      </c>
      <c r="H144" t="s">
        <v>180</v>
      </c>
      <c r="I144">
        <v>10</v>
      </c>
      <c r="J144">
        <v>24549</v>
      </c>
      <c r="K144">
        <f>Table1[[#This Row],[Quantity]]*Table1[[#This Row],[Unit Price]]</f>
        <v>245490</v>
      </c>
      <c r="L144">
        <f>Table1[[#This Row],[Sales]]*Table1[[#This Row],[Discount]]</f>
        <v>22094.1</v>
      </c>
      <c r="M144">
        <f>Table1[[#This Row],[Sales]]-Table1[[#This Row],[dis]]</f>
        <v>223395.9</v>
      </c>
      <c r="N144">
        <v>0.09</v>
      </c>
      <c r="O144" t="s">
        <v>18</v>
      </c>
      <c r="P144" t="s">
        <v>44</v>
      </c>
    </row>
    <row r="145" spans="1:16">
      <c r="A145">
        <v>1144</v>
      </c>
      <c r="B145" s="30" t="s">
        <v>89</v>
      </c>
      <c r="C145" s="33">
        <f>MONTH(Table1[[#This Row],[Date]])</f>
        <v>8</v>
      </c>
      <c r="D145" t="s">
        <v>69</v>
      </c>
      <c r="E145" t="s">
        <v>70</v>
      </c>
      <c r="F145" t="s">
        <v>15</v>
      </c>
      <c r="G145" t="s">
        <v>16</v>
      </c>
      <c r="H145" t="s">
        <v>127</v>
      </c>
      <c r="I145">
        <v>6</v>
      </c>
      <c r="J145">
        <v>10360</v>
      </c>
      <c r="K145">
        <f>Table1[[#This Row],[Quantity]]*Table1[[#This Row],[Unit Price]]</f>
        <v>62160</v>
      </c>
      <c r="L145">
        <f>Table1[[#This Row],[Sales]]*Table1[[#This Row],[Discount]]</f>
        <v>9324</v>
      </c>
      <c r="M145">
        <f>Table1[[#This Row],[Sales]]-Table1[[#This Row],[dis]]</f>
        <v>52836</v>
      </c>
      <c r="N145">
        <v>0.15</v>
      </c>
      <c r="O145" t="s">
        <v>33</v>
      </c>
      <c r="P145" t="s">
        <v>34</v>
      </c>
    </row>
    <row r="146" spans="1:16">
      <c r="A146">
        <v>1145</v>
      </c>
      <c r="B146" s="30" t="s">
        <v>175</v>
      </c>
      <c r="C146" s="33">
        <f>MONTH(Table1[[#This Row],[Date]])</f>
        <v>7</v>
      </c>
      <c r="D146" t="s">
        <v>21</v>
      </c>
      <c r="E146" t="s">
        <v>114</v>
      </c>
      <c r="F146" t="s">
        <v>41</v>
      </c>
      <c r="G146" t="s">
        <v>76</v>
      </c>
      <c r="H146" t="s">
        <v>123</v>
      </c>
      <c r="I146">
        <v>4</v>
      </c>
      <c r="J146">
        <v>48200</v>
      </c>
      <c r="K146">
        <f>Table1[[#This Row],[Quantity]]*Table1[[#This Row],[Unit Price]]</f>
        <v>192800</v>
      </c>
      <c r="L146">
        <f>Table1[[#This Row],[Sales]]*Table1[[#This Row],[Discount]]</f>
        <v>38560</v>
      </c>
      <c r="M146">
        <f>Table1[[#This Row],[Sales]]-Table1[[#This Row],[dis]]</f>
        <v>154240</v>
      </c>
      <c r="N146">
        <v>0.2</v>
      </c>
      <c r="O146" t="s">
        <v>18</v>
      </c>
      <c r="P146" t="s">
        <v>34</v>
      </c>
    </row>
    <row r="147" spans="1:16">
      <c r="A147">
        <v>1146</v>
      </c>
      <c r="B147" s="30" t="s">
        <v>209</v>
      </c>
      <c r="C147" s="33">
        <f>MONTH(Table1[[#This Row],[Date]])</f>
        <v>12</v>
      </c>
      <c r="D147" t="s">
        <v>69</v>
      </c>
      <c r="E147" t="s">
        <v>111</v>
      </c>
      <c r="F147" t="s">
        <v>15</v>
      </c>
      <c r="G147" t="s">
        <v>85</v>
      </c>
      <c r="H147" t="s">
        <v>118</v>
      </c>
      <c r="I147">
        <v>5</v>
      </c>
      <c r="J147">
        <v>10817</v>
      </c>
      <c r="K147">
        <f>Table1[[#This Row],[Quantity]]*Table1[[#This Row],[Unit Price]]</f>
        <v>54085</v>
      </c>
      <c r="L147">
        <f>Table1[[#This Row],[Sales]]*Table1[[#This Row],[Discount]]</f>
        <v>1622.55</v>
      </c>
      <c r="M147">
        <f>Table1[[#This Row],[Sales]]-Table1[[#This Row],[dis]]</f>
        <v>52462.45</v>
      </c>
      <c r="N147">
        <v>0.03</v>
      </c>
      <c r="O147" t="s">
        <v>33</v>
      </c>
      <c r="P147" t="s">
        <v>44</v>
      </c>
    </row>
    <row r="148" spans="1:16">
      <c r="A148">
        <v>1147</v>
      </c>
      <c r="B148" s="30" t="s">
        <v>217</v>
      </c>
      <c r="C148" s="33">
        <f>MONTH(Table1[[#This Row],[Date]])</f>
        <v>5</v>
      </c>
      <c r="D148" t="s">
        <v>13</v>
      </c>
      <c r="E148" t="s">
        <v>82</v>
      </c>
      <c r="F148" t="s">
        <v>30</v>
      </c>
      <c r="G148" t="s">
        <v>31</v>
      </c>
      <c r="H148" t="s">
        <v>109</v>
      </c>
      <c r="I148">
        <v>1</v>
      </c>
      <c r="J148">
        <v>21980</v>
      </c>
      <c r="K148">
        <f>Table1[[#This Row],[Quantity]]*Table1[[#This Row],[Unit Price]]</f>
        <v>21980</v>
      </c>
      <c r="L148">
        <f>Table1[[#This Row],[Sales]]*Table1[[#This Row],[Discount]]</f>
        <v>2857.4</v>
      </c>
      <c r="M148">
        <f>Table1[[#This Row],[Sales]]-Table1[[#This Row],[dis]]</f>
        <v>19122.599999999999</v>
      </c>
      <c r="N148">
        <v>0.13</v>
      </c>
      <c r="O148" t="s">
        <v>18</v>
      </c>
      <c r="P148" t="s">
        <v>26</v>
      </c>
    </row>
    <row r="149" spans="1:16">
      <c r="A149">
        <v>1148</v>
      </c>
      <c r="B149" s="30" t="s">
        <v>228</v>
      </c>
      <c r="C149" s="33">
        <f>MONTH(Table1[[#This Row],[Date]])</f>
        <v>6</v>
      </c>
      <c r="D149" t="s">
        <v>21</v>
      </c>
      <c r="E149" t="s">
        <v>60</v>
      </c>
      <c r="F149" t="s">
        <v>30</v>
      </c>
      <c r="G149" t="s">
        <v>66</v>
      </c>
      <c r="H149" t="s">
        <v>142</v>
      </c>
      <c r="I149">
        <v>2</v>
      </c>
      <c r="J149">
        <v>32136</v>
      </c>
      <c r="K149">
        <f>Table1[[#This Row],[Quantity]]*Table1[[#This Row],[Unit Price]]</f>
        <v>64272</v>
      </c>
      <c r="L149">
        <f>Table1[[#This Row],[Sales]]*Table1[[#This Row],[Discount]]</f>
        <v>2570.88</v>
      </c>
      <c r="M149">
        <f>Table1[[#This Row],[Sales]]-Table1[[#This Row],[dis]]</f>
        <v>61701.120000000003</v>
      </c>
      <c r="N149">
        <v>0.04</v>
      </c>
      <c r="O149" t="s">
        <v>18</v>
      </c>
      <c r="P149" t="s">
        <v>34</v>
      </c>
    </row>
    <row r="150" spans="1:16">
      <c r="A150">
        <v>1149</v>
      </c>
      <c r="B150" s="30" t="s">
        <v>229</v>
      </c>
      <c r="C150" s="33">
        <f>MONTH(Table1[[#This Row],[Date]])</f>
        <v>11</v>
      </c>
      <c r="D150" t="s">
        <v>69</v>
      </c>
      <c r="E150" t="s">
        <v>72</v>
      </c>
      <c r="F150" t="s">
        <v>41</v>
      </c>
      <c r="G150" t="s">
        <v>47</v>
      </c>
      <c r="H150" t="s">
        <v>135</v>
      </c>
      <c r="I150">
        <v>3</v>
      </c>
      <c r="J150">
        <v>37470</v>
      </c>
      <c r="K150">
        <f>Table1[[#This Row],[Quantity]]*Table1[[#This Row],[Unit Price]]</f>
        <v>112410</v>
      </c>
      <c r="L150">
        <f>Table1[[#This Row],[Sales]]*Table1[[#This Row],[Discount]]</f>
        <v>21357.9</v>
      </c>
      <c r="M150">
        <f>Table1[[#This Row],[Sales]]-Table1[[#This Row],[dis]]</f>
        <v>91052.1</v>
      </c>
      <c r="N150">
        <v>0.19</v>
      </c>
      <c r="O150" t="s">
        <v>33</v>
      </c>
      <c r="P150" t="s">
        <v>63</v>
      </c>
    </row>
    <row r="151" spans="1:16">
      <c r="A151">
        <v>1150</v>
      </c>
      <c r="B151" s="30" t="s">
        <v>230</v>
      </c>
      <c r="C151" s="33">
        <f>MONTH(Table1[[#This Row],[Date]])</f>
        <v>4</v>
      </c>
      <c r="D151" t="s">
        <v>13</v>
      </c>
      <c r="E151" t="s">
        <v>141</v>
      </c>
      <c r="F151" t="s">
        <v>41</v>
      </c>
      <c r="G151" t="s">
        <v>76</v>
      </c>
      <c r="H151" t="s">
        <v>106</v>
      </c>
      <c r="I151">
        <v>1</v>
      </c>
      <c r="J151">
        <v>13796</v>
      </c>
      <c r="K151">
        <f>Table1[[#This Row],[Quantity]]*Table1[[#This Row],[Unit Price]]</f>
        <v>13796</v>
      </c>
      <c r="L151">
        <f>Table1[[#This Row],[Sales]]*Table1[[#This Row],[Discount]]</f>
        <v>551.84</v>
      </c>
      <c r="M151">
        <f>Table1[[#This Row],[Sales]]-Table1[[#This Row],[dis]]</f>
        <v>13244.16</v>
      </c>
      <c r="N151">
        <v>0.04</v>
      </c>
      <c r="O151" t="s">
        <v>18</v>
      </c>
      <c r="P151" t="s">
        <v>19</v>
      </c>
    </row>
    <row r="152" spans="1:16">
      <c r="A152">
        <v>1151</v>
      </c>
      <c r="B152" s="30" t="s">
        <v>231</v>
      </c>
      <c r="C152" s="33">
        <f>MONTH(Table1[[#This Row],[Date]])</f>
        <v>1</v>
      </c>
      <c r="D152" t="s">
        <v>21</v>
      </c>
      <c r="E152" t="s">
        <v>22</v>
      </c>
      <c r="F152" t="s">
        <v>41</v>
      </c>
      <c r="G152" t="s">
        <v>47</v>
      </c>
      <c r="H152" t="s">
        <v>129</v>
      </c>
      <c r="I152">
        <v>2</v>
      </c>
      <c r="J152">
        <v>12446</v>
      </c>
      <c r="K152">
        <f>Table1[[#This Row],[Quantity]]*Table1[[#This Row],[Unit Price]]</f>
        <v>24892</v>
      </c>
      <c r="L152">
        <f>Table1[[#This Row],[Sales]]*Table1[[#This Row],[Discount]]</f>
        <v>2738.12</v>
      </c>
      <c r="M152">
        <f>Table1[[#This Row],[Sales]]-Table1[[#This Row],[dis]]</f>
        <v>22153.88</v>
      </c>
      <c r="N152">
        <v>0.11</v>
      </c>
      <c r="O152" t="s">
        <v>33</v>
      </c>
      <c r="P152" t="s">
        <v>63</v>
      </c>
    </row>
    <row r="153" spans="1:16">
      <c r="A153">
        <v>1152</v>
      </c>
      <c r="B153" s="30" t="s">
        <v>232</v>
      </c>
      <c r="C153" s="33">
        <f>MONTH(Table1[[#This Row],[Date]])</f>
        <v>6</v>
      </c>
      <c r="D153" t="s">
        <v>13</v>
      </c>
      <c r="E153" t="s">
        <v>141</v>
      </c>
      <c r="F153" t="s">
        <v>41</v>
      </c>
      <c r="G153" t="s">
        <v>115</v>
      </c>
      <c r="H153" t="s">
        <v>180</v>
      </c>
      <c r="I153">
        <v>7</v>
      </c>
      <c r="J153">
        <v>17303</v>
      </c>
      <c r="K153">
        <f>Table1[[#This Row],[Quantity]]*Table1[[#This Row],[Unit Price]]</f>
        <v>121121</v>
      </c>
      <c r="L153">
        <f>Table1[[#This Row],[Sales]]*Table1[[#This Row],[Discount]]</f>
        <v>12112.1</v>
      </c>
      <c r="M153">
        <f>Table1[[#This Row],[Sales]]-Table1[[#This Row],[dis]]</f>
        <v>109008.9</v>
      </c>
      <c r="N153">
        <v>0.1</v>
      </c>
      <c r="O153" t="s">
        <v>18</v>
      </c>
      <c r="P153" t="s">
        <v>39</v>
      </c>
    </row>
    <row r="154" spans="1:16">
      <c r="A154">
        <v>1153</v>
      </c>
      <c r="B154" s="30" t="s">
        <v>233</v>
      </c>
      <c r="C154" s="33">
        <f>MONTH(Table1[[#This Row],[Date]])</f>
        <v>6</v>
      </c>
      <c r="D154" t="s">
        <v>21</v>
      </c>
      <c r="E154" t="s">
        <v>80</v>
      </c>
      <c r="F154" t="s">
        <v>41</v>
      </c>
      <c r="G154" t="s">
        <v>115</v>
      </c>
      <c r="H154" t="s">
        <v>174</v>
      </c>
      <c r="I154">
        <v>1</v>
      </c>
      <c r="J154">
        <v>15192</v>
      </c>
      <c r="K154">
        <f>Table1[[#This Row],[Quantity]]*Table1[[#This Row],[Unit Price]]</f>
        <v>15192</v>
      </c>
      <c r="L154">
        <f>Table1[[#This Row],[Sales]]*Table1[[#This Row],[Discount]]</f>
        <v>1519.2</v>
      </c>
      <c r="M154">
        <f>Table1[[#This Row],[Sales]]-Table1[[#This Row],[dis]]</f>
        <v>13672.8</v>
      </c>
      <c r="N154">
        <v>0.1</v>
      </c>
      <c r="O154" t="s">
        <v>33</v>
      </c>
      <c r="P154" t="s">
        <v>39</v>
      </c>
    </row>
    <row r="155" spans="1:16">
      <c r="A155">
        <v>1154</v>
      </c>
      <c r="B155" s="30" t="s">
        <v>122</v>
      </c>
      <c r="C155" s="33">
        <f>MONTH(Table1[[#This Row],[Date]])</f>
        <v>5</v>
      </c>
      <c r="D155" t="s">
        <v>28</v>
      </c>
      <c r="E155" t="s">
        <v>46</v>
      </c>
      <c r="F155" t="s">
        <v>41</v>
      </c>
      <c r="G155" t="s">
        <v>47</v>
      </c>
      <c r="H155" t="s">
        <v>135</v>
      </c>
      <c r="I155">
        <v>9</v>
      </c>
      <c r="J155">
        <v>22046</v>
      </c>
      <c r="K155">
        <f>Table1[[#This Row],[Quantity]]*Table1[[#This Row],[Unit Price]]</f>
        <v>198414</v>
      </c>
      <c r="L155">
        <f>Table1[[#This Row],[Sales]]*Table1[[#This Row],[Discount]]</f>
        <v>3968.28</v>
      </c>
      <c r="M155">
        <f>Table1[[#This Row],[Sales]]-Table1[[#This Row],[dis]]</f>
        <v>194445.72</v>
      </c>
      <c r="N155">
        <v>0.02</v>
      </c>
      <c r="O155" t="s">
        <v>18</v>
      </c>
      <c r="P155" t="s">
        <v>26</v>
      </c>
    </row>
    <row r="156" spans="1:16">
      <c r="A156">
        <v>1155</v>
      </c>
      <c r="B156" s="30" t="s">
        <v>234</v>
      </c>
      <c r="C156" s="33">
        <f>MONTH(Table1[[#This Row],[Date]])</f>
        <v>7</v>
      </c>
      <c r="D156" t="s">
        <v>28</v>
      </c>
      <c r="E156" t="s">
        <v>36</v>
      </c>
      <c r="F156" t="s">
        <v>41</v>
      </c>
      <c r="G156" t="s">
        <v>42</v>
      </c>
      <c r="H156" t="s">
        <v>167</v>
      </c>
      <c r="I156">
        <v>10</v>
      </c>
      <c r="J156">
        <v>13866</v>
      </c>
      <c r="K156">
        <f>Table1[[#This Row],[Quantity]]*Table1[[#This Row],[Unit Price]]</f>
        <v>138660</v>
      </c>
      <c r="L156">
        <f>Table1[[#This Row],[Sales]]*Table1[[#This Row],[Discount]]</f>
        <v>24958.799999999999</v>
      </c>
      <c r="M156">
        <f>Table1[[#This Row],[Sales]]-Table1[[#This Row],[dis]]</f>
        <v>113701.2</v>
      </c>
      <c r="N156">
        <v>0.18</v>
      </c>
      <c r="O156" t="s">
        <v>33</v>
      </c>
      <c r="P156" t="s">
        <v>26</v>
      </c>
    </row>
    <row r="157" spans="1:16">
      <c r="A157">
        <v>1156</v>
      </c>
      <c r="B157" s="30" t="s">
        <v>235</v>
      </c>
      <c r="C157" s="33">
        <f>MONTH(Table1[[#This Row],[Date]])</f>
        <v>11</v>
      </c>
      <c r="D157" t="s">
        <v>13</v>
      </c>
      <c r="E157" t="s">
        <v>14</v>
      </c>
      <c r="F157" t="s">
        <v>15</v>
      </c>
      <c r="G157" t="s">
        <v>85</v>
      </c>
      <c r="H157" t="s">
        <v>118</v>
      </c>
      <c r="I157">
        <v>3</v>
      </c>
      <c r="J157">
        <v>42716</v>
      </c>
      <c r="K157">
        <f>Table1[[#This Row],[Quantity]]*Table1[[#This Row],[Unit Price]]</f>
        <v>128148</v>
      </c>
      <c r="L157">
        <f>Table1[[#This Row],[Sales]]*Table1[[#This Row],[Discount]]</f>
        <v>5125.92</v>
      </c>
      <c r="M157">
        <f>Table1[[#This Row],[Sales]]-Table1[[#This Row],[dis]]</f>
        <v>123022.08</v>
      </c>
      <c r="N157">
        <v>0.04</v>
      </c>
      <c r="O157" t="s">
        <v>18</v>
      </c>
      <c r="P157" t="s">
        <v>63</v>
      </c>
    </row>
    <row r="158" spans="1:16">
      <c r="A158">
        <v>1157</v>
      </c>
      <c r="B158" s="30" t="s">
        <v>236</v>
      </c>
      <c r="C158" s="33">
        <f>MONTH(Table1[[#This Row],[Date]])</f>
        <v>5</v>
      </c>
      <c r="D158" t="s">
        <v>69</v>
      </c>
      <c r="E158" t="s">
        <v>72</v>
      </c>
      <c r="F158" t="s">
        <v>41</v>
      </c>
      <c r="G158" t="s">
        <v>115</v>
      </c>
      <c r="H158" t="s">
        <v>116</v>
      </c>
      <c r="I158">
        <v>3</v>
      </c>
      <c r="J158">
        <v>18391</v>
      </c>
      <c r="K158">
        <f>Table1[[#This Row],[Quantity]]*Table1[[#This Row],[Unit Price]]</f>
        <v>55173</v>
      </c>
      <c r="L158">
        <f>Table1[[#This Row],[Sales]]*Table1[[#This Row],[Discount]]</f>
        <v>11034.6</v>
      </c>
      <c r="M158">
        <f>Table1[[#This Row],[Sales]]-Table1[[#This Row],[dis]]</f>
        <v>44138.400000000001</v>
      </c>
      <c r="N158">
        <v>0.2</v>
      </c>
      <c r="O158" t="s">
        <v>33</v>
      </c>
      <c r="P158" t="s">
        <v>73</v>
      </c>
    </row>
    <row r="159" spans="1:16">
      <c r="A159">
        <v>1158</v>
      </c>
      <c r="B159" s="30" t="s">
        <v>237</v>
      </c>
      <c r="C159" s="33">
        <f>MONTH(Table1[[#This Row],[Date]])</f>
        <v>1</v>
      </c>
      <c r="D159" t="s">
        <v>13</v>
      </c>
      <c r="E159" t="s">
        <v>82</v>
      </c>
      <c r="F159" t="s">
        <v>23</v>
      </c>
      <c r="G159" t="s">
        <v>24</v>
      </c>
      <c r="H159" t="s">
        <v>25</v>
      </c>
      <c r="I159">
        <v>3</v>
      </c>
      <c r="J159">
        <v>24944</v>
      </c>
      <c r="K159">
        <f>Table1[[#This Row],[Quantity]]*Table1[[#This Row],[Unit Price]]</f>
        <v>74832</v>
      </c>
      <c r="L159">
        <f>Table1[[#This Row],[Sales]]*Table1[[#This Row],[Discount]]</f>
        <v>8979.84</v>
      </c>
      <c r="M159">
        <f>Table1[[#This Row],[Sales]]-Table1[[#This Row],[dis]]</f>
        <v>65852.160000000003</v>
      </c>
      <c r="N159">
        <v>0.12</v>
      </c>
      <c r="O159" t="s">
        <v>33</v>
      </c>
      <c r="P159" t="s">
        <v>19</v>
      </c>
    </row>
    <row r="160" spans="1:16">
      <c r="A160">
        <v>1159</v>
      </c>
      <c r="B160" s="30" t="s">
        <v>108</v>
      </c>
      <c r="C160" s="33">
        <f>MONTH(Table1[[#This Row],[Date]])</f>
        <v>7</v>
      </c>
      <c r="D160" t="s">
        <v>21</v>
      </c>
      <c r="E160" t="s">
        <v>60</v>
      </c>
      <c r="F160" t="s">
        <v>23</v>
      </c>
      <c r="G160" t="s">
        <v>131</v>
      </c>
      <c r="H160" t="s">
        <v>132</v>
      </c>
      <c r="I160">
        <v>7</v>
      </c>
      <c r="J160">
        <v>38621</v>
      </c>
      <c r="K160">
        <f>Table1[[#This Row],[Quantity]]*Table1[[#This Row],[Unit Price]]</f>
        <v>270347</v>
      </c>
      <c r="L160">
        <f>Table1[[#This Row],[Sales]]*Table1[[#This Row],[Discount]]</f>
        <v>51365.93</v>
      </c>
      <c r="M160">
        <f>Table1[[#This Row],[Sales]]-Table1[[#This Row],[dis]]</f>
        <v>218981.07</v>
      </c>
      <c r="N160">
        <v>0.19</v>
      </c>
      <c r="O160" t="s">
        <v>33</v>
      </c>
      <c r="P160" t="s">
        <v>34</v>
      </c>
    </row>
    <row r="161" spans="1:16">
      <c r="A161">
        <v>1160</v>
      </c>
      <c r="B161" s="30" t="s">
        <v>238</v>
      </c>
      <c r="C161" s="33">
        <f>MONTH(Table1[[#This Row],[Date]])</f>
        <v>3</v>
      </c>
      <c r="D161" t="s">
        <v>69</v>
      </c>
      <c r="E161" t="s">
        <v>75</v>
      </c>
      <c r="F161" t="s">
        <v>15</v>
      </c>
      <c r="G161" t="s">
        <v>50</v>
      </c>
      <c r="H161" t="s">
        <v>120</v>
      </c>
      <c r="I161">
        <v>7</v>
      </c>
      <c r="J161">
        <v>14633</v>
      </c>
      <c r="K161">
        <f>Table1[[#This Row],[Quantity]]*Table1[[#This Row],[Unit Price]]</f>
        <v>102431</v>
      </c>
      <c r="L161">
        <f>Table1[[#This Row],[Sales]]*Table1[[#This Row],[Discount]]</f>
        <v>15364.65</v>
      </c>
      <c r="M161">
        <f>Table1[[#This Row],[Sales]]-Table1[[#This Row],[dis]]</f>
        <v>87066.35</v>
      </c>
      <c r="N161">
        <v>0.15</v>
      </c>
      <c r="O161" t="s">
        <v>33</v>
      </c>
      <c r="P161" t="s">
        <v>34</v>
      </c>
    </row>
    <row r="162" spans="1:16">
      <c r="A162">
        <v>1161</v>
      </c>
      <c r="B162" s="30" t="s">
        <v>239</v>
      </c>
      <c r="C162" s="33">
        <f>MONTH(Table1[[#This Row],[Date]])</f>
        <v>11</v>
      </c>
      <c r="D162" t="s">
        <v>28</v>
      </c>
      <c r="E162" t="s">
        <v>29</v>
      </c>
      <c r="F162" t="s">
        <v>41</v>
      </c>
      <c r="G162" t="s">
        <v>76</v>
      </c>
      <c r="H162" t="s">
        <v>77</v>
      </c>
      <c r="I162">
        <v>2</v>
      </c>
      <c r="J162">
        <v>12959</v>
      </c>
      <c r="K162">
        <f>Table1[[#This Row],[Quantity]]*Table1[[#This Row],[Unit Price]]</f>
        <v>25918</v>
      </c>
      <c r="L162">
        <f>Table1[[#This Row],[Sales]]*Table1[[#This Row],[Discount]]</f>
        <v>259.18</v>
      </c>
      <c r="M162">
        <f>Table1[[#This Row],[Sales]]-Table1[[#This Row],[dis]]</f>
        <v>25658.82</v>
      </c>
      <c r="N162">
        <v>0.01</v>
      </c>
      <c r="O162" t="s">
        <v>33</v>
      </c>
      <c r="P162" t="s">
        <v>39</v>
      </c>
    </row>
    <row r="163" spans="1:16">
      <c r="A163">
        <v>1162</v>
      </c>
      <c r="B163" s="30" t="s">
        <v>240</v>
      </c>
      <c r="C163" s="33">
        <f>MONTH(Table1[[#This Row],[Date]])</f>
        <v>1</v>
      </c>
      <c r="D163" t="s">
        <v>69</v>
      </c>
      <c r="E163" t="s">
        <v>72</v>
      </c>
      <c r="F163" t="s">
        <v>41</v>
      </c>
      <c r="G163" t="s">
        <v>47</v>
      </c>
      <c r="H163" t="s">
        <v>48</v>
      </c>
      <c r="I163">
        <v>8</v>
      </c>
      <c r="J163">
        <v>31878</v>
      </c>
      <c r="K163">
        <f>Table1[[#This Row],[Quantity]]*Table1[[#This Row],[Unit Price]]</f>
        <v>255024</v>
      </c>
      <c r="L163">
        <f>Table1[[#This Row],[Sales]]*Table1[[#This Row],[Discount]]</f>
        <v>45904.32</v>
      </c>
      <c r="M163">
        <f>Table1[[#This Row],[Sales]]-Table1[[#This Row],[dis]]</f>
        <v>209119.68</v>
      </c>
      <c r="N163">
        <v>0.18</v>
      </c>
      <c r="O163" t="s">
        <v>18</v>
      </c>
      <c r="P163" t="s">
        <v>39</v>
      </c>
    </row>
    <row r="164" spans="1:16">
      <c r="A164">
        <v>1163</v>
      </c>
      <c r="B164" s="30" t="s">
        <v>212</v>
      </c>
      <c r="C164" s="33">
        <f>MONTH(Table1[[#This Row],[Date]])</f>
        <v>2</v>
      </c>
      <c r="D164" t="s">
        <v>69</v>
      </c>
      <c r="E164" t="s">
        <v>111</v>
      </c>
      <c r="F164" t="s">
        <v>23</v>
      </c>
      <c r="G164" t="s">
        <v>155</v>
      </c>
      <c r="H164" t="s">
        <v>193</v>
      </c>
      <c r="I164">
        <v>10</v>
      </c>
      <c r="J164">
        <v>48632</v>
      </c>
      <c r="K164">
        <f>Table1[[#This Row],[Quantity]]*Table1[[#This Row],[Unit Price]]</f>
        <v>486320</v>
      </c>
      <c r="L164">
        <f>Table1[[#This Row],[Sales]]*Table1[[#This Row],[Discount]]</f>
        <v>43768.799999999996</v>
      </c>
      <c r="M164">
        <f>Table1[[#This Row],[Sales]]-Table1[[#This Row],[dis]]</f>
        <v>442551.2</v>
      </c>
      <c r="N164">
        <v>0.09</v>
      </c>
      <c r="O164" t="s">
        <v>33</v>
      </c>
      <c r="P164" t="s">
        <v>63</v>
      </c>
    </row>
    <row r="165" spans="1:16">
      <c r="A165">
        <v>1164</v>
      </c>
      <c r="B165" s="30" t="s">
        <v>241</v>
      </c>
      <c r="C165" s="33">
        <f>MONTH(Table1[[#This Row],[Date]])</f>
        <v>10</v>
      </c>
      <c r="D165" t="s">
        <v>21</v>
      </c>
      <c r="E165" t="s">
        <v>60</v>
      </c>
      <c r="F165" t="s">
        <v>23</v>
      </c>
      <c r="G165" t="s">
        <v>131</v>
      </c>
      <c r="H165" t="s">
        <v>223</v>
      </c>
      <c r="I165">
        <v>9</v>
      </c>
      <c r="J165">
        <v>9040</v>
      </c>
      <c r="K165">
        <f>Table1[[#This Row],[Quantity]]*Table1[[#This Row],[Unit Price]]</f>
        <v>81360</v>
      </c>
      <c r="L165">
        <f>Table1[[#This Row],[Sales]]*Table1[[#This Row],[Discount]]</f>
        <v>3254.4</v>
      </c>
      <c r="M165">
        <f>Table1[[#This Row],[Sales]]-Table1[[#This Row],[dis]]</f>
        <v>78105.600000000006</v>
      </c>
      <c r="N165">
        <v>0.04</v>
      </c>
      <c r="O165" t="s">
        <v>18</v>
      </c>
      <c r="P165" t="s">
        <v>26</v>
      </c>
    </row>
    <row r="166" spans="1:16">
      <c r="A166">
        <v>1165</v>
      </c>
      <c r="B166" s="30" t="s">
        <v>242</v>
      </c>
      <c r="C166" s="33">
        <f>MONTH(Table1[[#This Row],[Date]])</f>
        <v>7</v>
      </c>
      <c r="D166" t="s">
        <v>13</v>
      </c>
      <c r="E166" t="s">
        <v>14</v>
      </c>
      <c r="F166" t="s">
        <v>15</v>
      </c>
      <c r="G166" t="s">
        <v>100</v>
      </c>
      <c r="H166" t="s">
        <v>148</v>
      </c>
      <c r="I166">
        <v>1</v>
      </c>
      <c r="J166">
        <v>43890</v>
      </c>
      <c r="K166">
        <f>Table1[[#This Row],[Quantity]]*Table1[[#This Row],[Unit Price]]</f>
        <v>43890</v>
      </c>
      <c r="L166">
        <f>Table1[[#This Row],[Sales]]*Table1[[#This Row],[Discount]]</f>
        <v>8778</v>
      </c>
      <c r="M166">
        <f>Table1[[#This Row],[Sales]]-Table1[[#This Row],[dis]]</f>
        <v>35112</v>
      </c>
      <c r="N166">
        <v>0.2</v>
      </c>
      <c r="O166" t="s">
        <v>18</v>
      </c>
      <c r="P166" t="s">
        <v>34</v>
      </c>
    </row>
    <row r="167" spans="1:16">
      <c r="A167">
        <v>1166</v>
      </c>
      <c r="B167" s="30" t="s">
        <v>64</v>
      </c>
      <c r="C167" s="33">
        <f>MONTH(Table1[[#This Row],[Date]])</f>
        <v>12</v>
      </c>
      <c r="D167" t="s">
        <v>28</v>
      </c>
      <c r="E167" t="s">
        <v>58</v>
      </c>
      <c r="F167" t="s">
        <v>15</v>
      </c>
      <c r="G167" t="s">
        <v>100</v>
      </c>
      <c r="H167" t="s">
        <v>219</v>
      </c>
      <c r="I167">
        <v>6</v>
      </c>
      <c r="J167">
        <v>1457</v>
      </c>
      <c r="K167">
        <f>Table1[[#This Row],[Quantity]]*Table1[[#This Row],[Unit Price]]</f>
        <v>8742</v>
      </c>
      <c r="L167">
        <f>Table1[[#This Row],[Sales]]*Table1[[#This Row],[Discount]]</f>
        <v>1223.8800000000001</v>
      </c>
      <c r="M167">
        <f>Table1[[#This Row],[Sales]]-Table1[[#This Row],[dis]]</f>
        <v>7518.12</v>
      </c>
      <c r="N167">
        <v>0.14000000000000001</v>
      </c>
      <c r="O167" t="s">
        <v>18</v>
      </c>
      <c r="P167" t="s">
        <v>26</v>
      </c>
    </row>
    <row r="168" spans="1:16">
      <c r="A168">
        <v>1167</v>
      </c>
      <c r="B168" s="30" t="s">
        <v>239</v>
      </c>
      <c r="C168" s="33">
        <f>MONTH(Table1[[#This Row],[Date]])</f>
        <v>11</v>
      </c>
      <c r="D168" t="s">
        <v>69</v>
      </c>
      <c r="E168" t="s">
        <v>75</v>
      </c>
      <c r="F168" t="s">
        <v>15</v>
      </c>
      <c r="G168" t="s">
        <v>16</v>
      </c>
      <c r="H168" t="s">
        <v>127</v>
      </c>
      <c r="I168">
        <v>4</v>
      </c>
      <c r="J168">
        <v>2250</v>
      </c>
      <c r="K168">
        <f>Table1[[#This Row],[Quantity]]*Table1[[#This Row],[Unit Price]]</f>
        <v>9000</v>
      </c>
      <c r="L168">
        <f>Table1[[#This Row],[Sales]]*Table1[[#This Row],[Discount]]</f>
        <v>270</v>
      </c>
      <c r="M168">
        <f>Table1[[#This Row],[Sales]]-Table1[[#This Row],[dis]]</f>
        <v>8730</v>
      </c>
      <c r="N168">
        <v>0.03</v>
      </c>
      <c r="O168" t="s">
        <v>18</v>
      </c>
      <c r="P168" t="s">
        <v>44</v>
      </c>
    </row>
    <row r="169" spans="1:16">
      <c r="A169">
        <v>1168</v>
      </c>
      <c r="B169" s="30" t="s">
        <v>243</v>
      </c>
      <c r="C169" s="33">
        <f>MONTH(Table1[[#This Row],[Date]])</f>
        <v>3</v>
      </c>
      <c r="D169" t="s">
        <v>69</v>
      </c>
      <c r="E169" t="s">
        <v>75</v>
      </c>
      <c r="F169" t="s">
        <v>23</v>
      </c>
      <c r="G169" t="s">
        <v>155</v>
      </c>
      <c r="H169" t="s">
        <v>193</v>
      </c>
      <c r="I169">
        <v>6</v>
      </c>
      <c r="J169">
        <v>34396</v>
      </c>
      <c r="K169">
        <f>Table1[[#This Row],[Quantity]]*Table1[[#This Row],[Unit Price]]</f>
        <v>206376</v>
      </c>
      <c r="L169">
        <f>Table1[[#This Row],[Sales]]*Table1[[#This Row],[Discount]]</f>
        <v>22701.360000000001</v>
      </c>
      <c r="M169">
        <f>Table1[[#This Row],[Sales]]-Table1[[#This Row],[dis]]</f>
        <v>183674.64</v>
      </c>
      <c r="N169">
        <v>0.11</v>
      </c>
      <c r="O169" t="s">
        <v>18</v>
      </c>
      <c r="P169" t="s">
        <v>44</v>
      </c>
    </row>
    <row r="170" spans="1:16">
      <c r="A170">
        <v>1169</v>
      </c>
      <c r="B170" s="30" t="s">
        <v>244</v>
      </c>
      <c r="C170" s="33">
        <f>MONTH(Table1[[#This Row],[Date]])</f>
        <v>9</v>
      </c>
      <c r="D170" t="s">
        <v>13</v>
      </c>
      <c r="E170" t="s">
        <v>14</v>
      </c>
      <c r="F170" t="s">
        <v>41</v>
      </c>
      <c r="G170" t="s">
        <v>42</v>
      </c>
      <c r="H170" t="s">
        <v>43</v>
      </c>
      <c r="I170">
        <v>9</v>
      </c>
      <c r="J170">
        <v>5209</v>
      </c>
      <c r="K170">
        <f>Table1[[#This Row],[Quantity]]*Table1[[#This Row],[Unit Price]]</f>
        <v>46881</v>
      </c>
      <c r="L170">
        <f>Table1[[#This Row],[Sales]]*Table1[[#This Row],[Discount]]</f>
        <v>8438.58</v>
      </c>
      <c r="M170">
        <f>Table1[[#This Row],[Sales]]-Table1[[#This Row],[dis]]</f>
        <v>38442.42</v>
      </c>
      <c r="N170">
        <v>0.18</v>
      </c>
      <c r="O170" t="s">
        <v>18</v>
      </c>
      <c r="P170" t="s">
        <v>19</v>
      </c>
    </row>
    <row r="171" spans="1:16">
      <c r="A171">
        <v>1170</v>
      </c>
      <c r="B171" s="30" t="s">
        <v>192</v>
      </c>
      <c r="C171" s="33">
        <f>MONTH(Table1[[#This Row],[Date]])</f>
        <v>11</v>
      </c>
      <c r="D171" t="s">
        <v>21</v>
      </c>
      <c r="E171" t="s">
        <v>114</v>
      </c>
      <c r="F171" t="s">
        <v>23</v>
      </c>
      <c r="G171" t="s">
        <v>24</v>
      </c>
      <c r="H171" t="s">
        <v>94</v>
      </c>
      <c r="I171">
        <v>9</v>
      </c>
      <c r="J171">
        <v>19599</v>
      </c>
      <c r="K171">
        <f>Table1[[#This Row],[Quantity]]*Table1[[#This Row],[Unit Price]]</f>
        <v>176391</v>
      </c>
      <c r="L171">
        <f>Table1[[#This Row],[Sales]]*Table1[[#This Row],[Discount]]</f>
        <v>31750.379999999997</v>
      </c>
      <c r="M171">
        <f>Table1[[#This Row],[Sales]]-Table1[[#This Row],[dis]]</f>
        <v>144640.62</v>
      </c>
      <c r="N171">
        <v>0.18</v>
      </c>
      <c r="O171" t="s">
        <v>33</v>
      </c>
      <c r="P171" t="s">
        <v>39</v>
      </c>
    </row>
    <row r="172" spans="1:16">
      <c r="A172">
        <v>1171</v>
      </c>
      <c r="B172" s="30" t="s">
        <v>245</v>
      </c>
      <c r="C172" s="33">
        <f>MONTH(Table1[[#This Row],[Date]])</f>
        <v>9</v>
      </c>
      <c r="D172" t="s">
        <v>69</v>
      </c>
      <c r="E172" t="s">
        <v>72</v>
      </c>
      <c r="F172" t="s">
        <v>15</v>
      </c>
      <c r="G172" t="s">
        <v>50</v>
      </c>
      <c r="H172" t="s">
        <v>51</v>
      </c>
      <c r="I172">
        <v>5</v>
      </c>
      <c r="J172">
        <v>15421</v>
      </c>
      <c r="K172">
        <f>Table1[[#This Row],[Quantity]]*Table1[[#This Row],[Unit Price]]</f>
        <v>77105</v>
      </c>
      <c r="L172">
        <f>Table1[[#This Row],[Sales]]*Table1[[#This Row],[Discount]]</f>
        <v>9252.6</v>
      </c>
      <c r="M172">
        <f>Table1[[#This Row],[Sales]]-Table1[[#This Row],[dis]]</f>
        <v>67852.399999999994</v>
      </c>
      <c r="N172">
        <v>0.12</v>
      </c>
      <c r="O172" t="s">
        <v>18</v>
      </c>
      <c r="P172" t="s">
        <v>19</v>
      </c>
    </row>
    <row r="173" spans="1:16">
      <c r="A173">
        <v>1172</v>
      </c>
      <c r="B173" s="30" t="s">
        <v>161</v>
      </c>
      <c r="C173" s="33">
        <f>MONTH(Table1[[#This Row],[Date]])</f>
        <v>6</v>
      </c>
      <c r="D173" t="s">
        <v>69</v>
      </c>
      <c r="E173" t="s">
        <v>70</v>
      </c>
      <c r="F173" t="s">
        <v>30</v>
      </c>
      <c r="G173" t="s">
        <v>31</v>
      </c>
      <c r="H173" t="s">
        <v>88</v>
      </c>
      <c r="I173">
        <v>6</v>
      </c>
      <c r="J173">
        <v>22509</v>
      </c>
      <c r="K173">
        <f>Table1[[#This Row],[Quantity]]*Table1[[#This Row],[Unit Price]]</f>
        <v>135054</v>
      </c>
      <c r="L173">
        <f>Table1[[#This Row],[Sales]]*Table1[[#This Row],[Discount]]</f>
        <v>10804.32</v>
      </c>
      <c r="M173">
        <f>Table1[[#This Row],[Sales]]-Table1[[#This Row],[dis]]</f>
        <v>124249.68</v>
      </c>
      <c r="N173">
        <v>0.08</v>
      </c>
      <c r="O173" t="s">
        <v>33</v>
      </c>
      <c r="P173" t="s">
        <v>44</v>
      </c>
    </row>
    <row r="174" spans="1:16">
      <c r="A174">
        <v>1173</v>
      </c>
      <c r="B174" s="30" t="s">
        <v>214</v>
      </c>
      <c r="C174" s="33">
        <f>MONTH(Table1[[#This Row],[Date]])</f>
        <v>10</v>
      </c>
      <c r="D174" t="s">
        <v>28</v>
      </c>
      <c r="E174" t="s">
        <v>58</v>
      </c>
      <c r="F174" t="s">
        <v>41</v>
      </c>
      <c r="G174" t="s">
        <v>42</v>
      </c>
      <c r="H174" t="s">
        <v>167</v>
      </c>
      <c r="I174">
        <v>8</v>
      </c>
      <c r="J174">
        <v>38709</v>
      </c>
      <c r="K174">
        <f>Table1[[#This Row],[Quantity]]*Table1[[#This Row],[Unit Price]]</f>
        <v>309672</v>
      </c>
      <c r="L174">
        <f>Table1[[#This Row],[Sales]]*Table1[[#This Row],[Discount]]</f>
        <v>12386.880000000001</v>
      </c>
      <c r="M174">
        <f>Table1[[#This Row],[Sales]]-Table1[[#This Row],[dis]]</f>
        <v>297285.12</v>
      </c>
      <c r="N174">
        <v>0.04</v>
      </c>
      <c r="O174" t="s">
        <v>33</v>
      </c>
      <c r="P174" t="s">
        <v>19</v>
      </c>
    </row>
    <row r="175" spans="1:16">
      <c r="A175">
        <v>1174</v>
      </c>
      <c r="B175" s="30" t="s">
        <v>246</v>
      </c>
      <c r="C175" s="33">
        <f>MONTH(Table1[[#This Row],[Date]])</f>
        <v>1</v>
      </c>
      <c r="D175" t="s">
        <v>21</v>
      </c>
      <c r="E175" t="s">
        <v>60</v>
      </c>
      <c r="F175" t="s">
        <v>30</v>
      </c>
      <c r="G175" t="s">
        <v>55</v>
      </c>
      <c r="H175" t="s">
        <v>112</v>
      </c>
      <c r="I175">
        <v>10</v>
      </c>
      <c r="J175">
        <v>34366</v>
      </c>
      <c r="K175">
        <f>Table1[[#This Row],[Quantity]]*Table1[[#This Row],[Unit Price]]</f>
        <v>343660</v>
      </c>
      <c r="L175">
        <f>Table1[[#This Row],[Sales]]*Table1[[#This Row],[Discount]]</f>
        <v>54985.599999999999</v>
      </c>
      <c r="M175">
        <f>Table1[[#This Row],[Sales]]-Table1[[#This Row],[dis]]</f>
        <v>288674.40000000002</v>
      </c>
      <c r="N175">
        <v>0.16</v>
      </c>
      <c r="O175" t="s">
        <v>33</v>
      </c>
      <c r="P175" t="s">
        <v>103</v>
      </c>
    </row>
    <row r="176" spans="1:16">
      <c r="A176">
        <v>1175</v>
      </c>
      <c r="B176" s="30" t="s">
        <v>247</v>
      </c>
      <c r="C176" s="33">
        <f>MONTH(Table1[[#This Row],[Date]])</f>
        <v>10</v>
      </c>
      <c r="D176" t="s">
        <v>13</v>
      </c>
      <c r="E176" t="s">
        <v>14</v>
      </c>
      <c r="F176" t="s">
        <v>41</v>
      </c>
      <c r="G176" t="s">
        <v>47</v>
      </c>
      <c r="H176" t="s">
        <v>135</v>
      </c>
      <c r="I176">
        <v>2</v>
      </c>
      <c r="J176">
        <v>25509</v>
      </c>
      <c r="K176">
        <f>Table1[[#This Row],[Quantity]]*Table1[[#This Row],[Unit Price]]</f>
        <v>51018</v>
      </c>
      <c r="L176">
        <f>Table1[[#This Row],[Sales]]*Table1[[#This Row],[Discount]]</f>
        <v>1020.36</v>
      </c>
      <c r="M176">
        <f>Table1[[#This Row],[Sales]]-Table1[[#This Row],[dis]]</f>
        <v>49997.64</v>
      </c>
      <c r="N176">
        <v>0.02</v>
      </c>
      <c r="O176" t="s">
        <v>18</v>
      </c>
      <c r="P176" t="s">
        <v>39</v>
      </c>
    </row>
    <row r="177" spans="1:16">
      <c r="A177">
        <v>1176</v>
      </c>
      <c r="B177" s="30" t="s">
        <v>248</v>
      </c>
      <c r="C177" s="33">
        <f>MONTH(Table1[[#This Row],[Date]])</f>
        <v>12</v>
      </c>
      <c r="D177" t="s">
        <v>21</v>
      </c>
      <c r="E177" t="s">
        <v>80</v>
      </c>
      <c r="F177" t="s">
        <v>41</v>
      </c>
      <c r="G177" t="s">
        <v>76</v>
      </c>
      <c r="H177" t="s">
        <v>123</v>
      </c>
      <c r="I177">
        <v>10</v>
      </c>
      <c r="J177">
        <v>17752</v>
      </c>
      <c r="K177">
        <f>Table1[[#This Row],[Quantity]]*Table1[[#This Row],[Unit Price]]</f>
        <v>177520</v>
      </c>
      <c r="L177">
        <f>Table1[[#This Row],[Sales]]*Table1[[#This Row],[Discount]]</f>
        <v>3550.4</v>
      </c>
      <c r="M177">
        <f>Table1[[#This Row],[Sales]]-Table1[[#This Row],[dis]]</f>
        <v>173969.6</v>
      </c>
      <c r="N177">
        <v>0.02</v>
      </c>
      <c r="O177" t="s">
        <v>18</v>
      </c>
      <c r="P177" t="s">
        <v>39</v>
      </c>
    </row>
    <row r="178" spans="1:16">
      <c r="A178">
        <v>1177</v>
      </c>
      <c r="B178" s="30" t="s">
        <v>184</v>
      </c>
      <c r="C178" s="33">
        <f>MONTH(Table1[[#This Row],[Date]])</f>
        <v>12</v>
      </c>
      <c r="D178" t="s">
        <v>13</v>
      </c>
      <c r="E178" t="s">
        <v>82</v>
      </c>
      <c r="F178" t="s">
        <v>30</v>
      </c>
      <c r="G178" t="s">
        <v>61</v>
      </c>
      <c r="H178" t="s">
        <v>163</v>
      </c>
      <c r="I178">
        <v>6</v>
      </c>
      <c r="J178">
        <v>15623</v>
      </c>
      <c r="K178">
        <f>Table1[[#This Row],[Quantity]]*Table1[[#This Row],[Unit Price]]</f>
        <v>93738</v>
      </c>
      <c r="L178">
        <f>Table1[[#This Row],[Sales]]*Table1[[#This Row],[Discount]]</f>
        <v>6561.6600000000008</v>
      </c>
      <c r="M178">
        <f>Table1[[#This Row],[Sales]]-Table1[[#This Row],[dis]]</f>
        <v>87176.34</v>
      </c>
      <c r="N178">
        <v>7.0000000000000007E-2</v>
      </c>
      <c r="O178" t="s">
        <v>18</v>
      </c>
      <c r="P178" t="s">
        <v>63</v>
      </c>
    </row>
    <row r="179" spans="1:16">
      <c r="A179">
        <v>1178</v>
      </c>
      <c r="B179" s="30" t="s">
        <v>249</v>
      </c>
      <c r="C179" s="33">
        <f>MONTH(Table1[[#This Row],[Date]])</f>
        <v>3</v>
      </c>
      <c r="D179" t="s">
        <v>69</v>
      </c>
      <c r="E179" t="s">
        <v>70</v>
      </c>
      <c r="F179" t="s">
        <v>30</v>
      </c>
      <c r="G179" t="s">
        <v>31</v>
      </c>
      <c r="H179" t="s">
        <v>109</v>
      </c>
      <c r="I179">
        <v>1</v>
      </c>
      <c r="J179">
        <v>32685</v>
      </c>
      <c r="K179">
        <f>Table1[[#This Row],[Quantity]]*Table1[[#This Row],[Unit Price]]</f>
        <v>32685</v>
      </c>
      <c r="L179">
        <f>Table1[[#This Row],[Sales]]*Table1[[#This Row],[Discount]]</f>
        <v>2941.65</v>
      </c>
      <c r="M179">
        <f>Table1[[#This Row],[Sales]]-Table1[[#This Row],[dis]]</f>
        <v>29743.35</v>
      </c>
      <c r="N179">
        <v>0.09</v>
      </c>
      <c r="O179" t="s">
        <v>18</v>
      </c>
      <c r="P179" t="s">
        <v>19</v>
      </c>
    </row>
    <row r="180" spans="1:16">
      <c r="A180">
        <v>1179</v>
      </c>
      <c r="B180" s="30" t="s">
        <v>239</v>
      </c>
      <c r="C180" s="33">
        <f>MONTH(Table1[[#This Row],[Date]])</f>
        <v>11</v>
      </c>
      <c r="D180" t="s">
        <v>28</v>
      </c>
      <c r="E180" t="s">
        <v>36</v>
      </c>
      <c r="F180" t="s">
        <v>41</v>
      </c>
      <c r="G180" t="s">
        <v>115</v>
      </c>
      <c r="H180" t="s">
        <v>116</v>
      </c>
      <c r="I180">
        <v>4</v>
      </c>
      <c r="J180">
        <v>9686</v>
      </c>
      <c r="K180">
        <f>Table1[[#This Row],[Quantity]]*Table1[[#This Row],[Unit Price]]</f>
        <v>38744</v>
      </c>
      <c r="L180">
        <f>Table1[[#This Row],[Sales]]*Table1[[#This Row],[Discount]]</f>
        <v>4649.28</v>
      </c>
      <c r="M180">
        <f>Table1[[#This Row],[Sales]]-Table1[[#This Row],[dis]]</f>
        <v>34094.720000000001</v>
      </c>
      <c r="N180">
        <v>0.12</v>
      </c>
      <c r="O180" t="s">
        <v>18</v>
      </c>
      <c r="P180" t="s">
        <v>103</v>
      </c>
    </row>
    <row r="181" spans="1:16">
      <c r="A181">
        <v>1180</v>
      </c>
      <c r="B181" s="30" t="s">
        <v>250</v>
      </c>
      <c r="C181" s="33">
        <f>MONTH(Table1[[#This Row],[Date]])</f>
        <v>5</v>
      </c>
      <c r="D181" t="s">
        <v>28</v>
      </c>
      <c r="E181" t="s">
        <v>58</v>
      </c>
      <c r="F181" t="s">
        <v>30</v>
      </c>
      <c r="G181" t="s">
        <v>66</v>
      </c>
      <c r="H181" t="s">
        <v>199</v>
      </c>
      <c r="I181">
        <v>9</v>
      </c>
      <c r="J181">
        <v>33987</v>
      </c>
      <c r="K181">
        <f>Table1[[#This Row],[Quantity]]*Table1[[#This Row],[Unit Price]]</f>
        <v>305883</v>
      </c>
      <c r="L181">
        <f>Table1[[#This Row],[Sales]]*Table1[[#This Row],[Discount]]</f>
        <v>27529.469999999998</v>
      </c>
      <c r="M181">
        <f>Table1[[#This Row],[Sales]]-Table1[[#This Row],[dis]]</f>
        <v>278353.53000000003</v>
      </c>
      <c r="N181">
        <v>0.09</v>
      </c>
      <c r="O181" t="s">
        <v>33</v>
      </c>
      <c r="P181" t="s">
        <v>63</v>
      </c>
    </row>
    <row r="182" spans="1:16">
      <c r="A182">
        <v>1181</v>
      </c>
      <c r="B182" s="30" t="s">
        <v>133</v>
      </c>
      <c r="C182" s="33">
        <f>MONTH(Table1[[#This Row],[Date]])</f>
        <v>5</v>
      </c>
      <c r="D182" t="s">
        <v>21</v>
      </c>
      <c r="E182" t="s">
        <v>60</v>
      </c>
      <c r="F182" t="s">
        <v>15</v>
      </c>
      <c r="G182" t="s">
        <v>50</v>
      </c>
      <c r="H182" t="s">
        <v>126</v>
      </c>
      <c r="I182">
        <v>1</v>
      </c>
      <c r="J182">
        <v>1413</v>
      </c>
      <c r="K182">
        <f>Table1[[#This Row],[Quantity]]*Table1[[#This Row],[Unit Price]]</f>
        <v>1413</v>
      </c>
      <c r="L182">
        <f>Table1[[#This Row],[Sales]]*Table1[[#This Row],[Discount]]</f>
        <v>84.78</v>
      </c>
      <c r="M182">
        <f>Table1[[#This Row],[Sales]]-Table1[[#This Row],[dis]]</f>
        <v>1328.22</v>
      </c>
      <c r="N182">
        <v>0.06</v>
      </c>
      <c r="O182" t="s">
        <v>18</v>
      </c>
      <c r="P182" t="s">
        <v>34</v>
      </c>
    </row>
    <row r="183" spans="1:16">
      <c r="A183">
        <v>1182</v>
      </c>
      <c r="B183" s="30" t="s">
        <v>251</v>
      </c>
      <c r="C183" s="33">
        <f>MONTH(Table1[[#This Row],[Date]])</f>
        <v>9</v>
      </c>
      <c r="D183" t="s">
        <v>69</v>
      </c>
      <c r="E183" t="s">
        <v>72</v>
      </c>
      <c r="F183" t="s">
        <v>30</v>
      </c>
      <c r="G183" t="s">
        <v>66</v>
      </c>
      <c r="H183" t="s">
        <v>199</v>
      </c>
      <c r="I183">
        <v>7</v>
      </c>
      <c r="J183">
        <v>20994</v>
      </c>
      <c r="K183">
        <f>Table1[[#This Row],[Quantity]]*Table1[[#This Row],[Unit Price]]</f>
        <v>146958</v>
      </c>
      <c r="L183">
        <f>Table1[[#This Row],[Sales]]*Table1[[#This Row],[Discount]]</f>
        <v>24982.86</v>
      </c>
      <c r="M183">
        <f>Table1[[#This Row],[Sales]]-Table1[[#This Row],[dis]]</f>
        <v>121975.14</v>
      </c>
      <c r="N183">
        <v>0.17</v>
      </c>
      <c r="O183" t="s">
        <v>33</v>
      </c>
      <c r="P183" t="s">
        <v>19</v>
      </c>
    </row>
    <row r="184" spans="1:16">
      <c r="A184">
        <v>1183</v>
      </c>
      <c r="B184" s="30" t="s">
        <v>252</v>
      </c>
      <c r="C184" s="33">
        <f>MONTH(Table1[[#This Row],[Date]])</f>
        <v>5</v>
      </c>
      <c r="D184" t="s">
        <v>13</v>
      </c>
      <c r="E184" t="s">
        <v>141</v>
      </c>
      <c r="F184" t="s">
        <v>41</v>
      </c>
      <c r="G184" t="s">
        <v>42</v>
      </c>
      <c r="H184" t="s">
        <v>167</v>
      </c>
      <c r="I184">
        <v>7</v>
      </c>
      <c r="J184">
        <v>26427</v>
      </c>
      <c r="K184">
        <f>Table1[[#This Row],[Quantity]]*Table1[[#This Row],[Unit Price]]</f>
        <v>184989</v>
      </c>
      <c r="L184">
        <f>Table1[[#This Row],[Sales]]*Table1[[#This Row],[Discount]]</f>
        <v>20348.79</v>
      </c>
      <c r="M184">
        <f>Table1[[#This Row],[Sales]]-Table1[[#This Row],[dis]]</f>
        <v>164640.21</v>
      </c>
      <c r="N184">
        <v>0.11</v>
      </c>
      <c r="O184" t="s">
        <v>33</v>
      </c>
      <c r="P184" t="s">
        <v>19</v>
      </c>
    </row>
    <row r="185" spans="1:16">
      <c r="A185">
        <v>1184</v>
      </c>
      <c r="B185" s="30" t="s">
        <v>54</v>
      </c>
      <c r="C185" s="33">
        <f>MONTH(Table1[[#This Row],[Date]])</f>
        <v>6</v>
      </c>
      <c r="D185" t="s">
        <v>21</v>
      </c>
      <c r="E185" t="s">
        <v>22</v>
      </c>
      <c r="F185" t="s">
        <v>23</v>
      </c>
      <c r="G185" t="s">
        <v>155</v>
      </c>
      <c r="H185" t="s">
        <v>156</v>
      </c>
      <c r="I185">
        <v>5</v>
      </c>
      <c r="J185">
        <v>27705</v>
      </c>
      <c r="K185">
        <f>Table1[[#This Row],[Quantity]]*Table1[[#This Row],[Unit Price]]</f>
        <v>138525</v>
      </c>
      <c r="L185">
        <f>Table1[[#This Row],[Sales]]*Table1[[#This Row],[Discount]]</f>
        <v>0</v>
      </c>
      <c r="M185">
        <f>Table1[[#This Row],[Sales]]-Table1[[#This Row],[dis]]</f>
        <v>138525</v>
      </c>
      <c r="N185">
        <v>0</v>
      </c>
      <c r="O185" t="s">
        <v>33</v>
      </c>
      <c r="P185" t="s">
        <v>26</v>
      </c>
    </row>
    <row r="186" spans="1:16">
      <c r="A186">
        <v>1185</v>
      </c>
      <c r="B186" s="30" t="s">
        <v>238</v>
      </c>
      <c r="C186" s="33">
        <f>MONTH(Table1[[#This Row],[Date]])</f>
        <v>3</v>
      </c>
      <c r="D186" t="s">
        <v>69</v>
      </c>
      <c r="E186" t="s">
        <v>72</v>
      </c>
      <c r="F186" t="s">
        <v>23</v>
      </c>
      <c r="G186" t="s">
        <v>155</v>
      </c>
      <c r="H186" t="s">
        <v>156</v>
      </c>
      <c r="I186">
        <v>1</v>
      </c>
      <c r="J186">
        <v>1050</v>
      </c>
      <c r="K186">
        <f>Table1[[#This Row],[Quantity]]*Table1[[#This Row],[Unit Price]]</f>
        <v>1050</v>
      </c>
      <c r="L186">
        <f>Table1[[#This Row],[Sales]]*Table1[[#This Row],[Discount]]</f>
        <v>84</v>
      </c>
      <c r="M186">
        <f>Table1[[#This Row],[Sales]]-Table1[[#This Row],[dis]]</f>
        <v>966</v>
      </c>
      <c r="N186">
        <v>0.08</v>
      </c>
      <c r="O186" t="s">
        <v>18</v>
      </c>
      <c r="P186" t="s">
        <v>39</v>
      </c>
    </row>
    <row r="187" spans="1:16">
      <c r="A187">
        <v>1186</v>
      </c>
      <c r="B187" s="30" t="s">
        <v>35</v>
      </c>
      <c r="C187" s="33">
        <f>MONTH(Table1[[#This Row],[Date]])</f>
        <v>8</v>
      </c>
      <c r="D187" t="s">
        <v>28</v>
      </c>
      <c r="E187" t="s">
        <v>36</v>
      </c>
      <c r="F187" t="s">
        <v>41</v>
      </c>
      <c r="G187" t="s">
        <v>76</v>
      </c>
      <c r="H187" t="s">
        <v>77</v>
      </c>
      <c r="I187">
        <v>6</v>
      </c>
      <c r="J187">
        <v>41673</v>
      </c>
      <c r="K187">
        <f>Table1[[#This Row],[Quantity]]*Table1[[#This Row],[Unit Price]]</f>
        <v>250038</v>
      </c>
      <c r="L187">
        <f>Table1[[#This Row],[Sales]]*Table1[[#This Row],[Discount]]</f>
        <v>2500.38</v>
      </c>
      <c r="M187">
        <f>Table1[[#This Row],[Sales]]-Table1[[#This Row],[dis]]</f>
        <v>247537.62</v>
      </c>
      <c r="N187">
        <v>0.01</v>
      </c>
      <c r="O187" t="s">
        <v>18</v>
      </c>
      <c r="P187" t="s">
        <v>44</v>
      </c>
    </row>
    <row r="188" spans="1:16">
      <c r="A188">
        <v>1187</v>
      </c>
      <c r="B188" s="30" t="s">
        <v>253</v>
      </c>
      <c r="C188" s="33">
        <f>MONTH(Table1[[#This Row],[Date]])</f>
        <v>3</v>
      </c>
      <c r="D188" t="s">
        <v>21</v>
      </c>
      <c r="E188" t="s">
        <v>114</v>
      </c>
      <c r="F188" t="s">
        <v>30</v>
      </c>
      <c r="G188" t="s">
        <v>61</v>
      </c>
      <c r="H188" t="s">
        <v>62</v>
      </c>
      <c r="I188">
        <v>9</v>
      </c>
      <c r="J188">
        <v>37083</v>
      </c>
      <c r="K188">
        <f>Table1[[#This Row],[Quantity]]*Table1[[#This Row],[Unit Price]]</f>
        <v>333747</v>
      </c>
      <c r="L188">
        <f>Table1[[#This Row],[Sales]]*Table1[[#This Row],[Discount]]</f>
        <v>13349.880000000001</v>
      </c>
      <c r="M188">
        <f>Table1[[#This Row],[Sales]]-Table1[[#This Row],[dis]]</f>
        <v>320397.12</v>
      </c>
      <c r="N188">
        <v>0.04</v>
      </c>
      <c r="O188" t="s">
        <v>33</v>
      </c>
      <c r="P188" t="s">
        <v>103</v>
      </c>
    </row>
    <row r="189" spans="1:16">
      <c r="A189">
        <v>1188</v>
      </c>
      <c r="B189" s="30" t="s">
        <v>20</v>
      </c>
      <c r="C189" s="33">
        <f>MONTH(Table1[[#This Row],[Date]])</f>
        <v>6</v>
      </c>
      <c r="D189" t="s">
        <v>13</v>
      </c>
      <c r="E189" t="s">
        <v>82</v>
      </c>
      <c r="F189" t="s">
        <v>15</v>
      </c>
      <c r="G189" t="s">
        <v>50</v>
      </c>
      <c r="H189" t="s">
        <v>126</v>
      </c>
      <c r="I189">
        <v>6</v>
      </c>
      <c r="J189">
        <v>20936</v>
      </c>
      <c r="K189">
        <f>Table1[[#This Row],[Quantity]]*Table1[[#This Row],[Unit Price]]</f>
        <v>125616</v>
      </c>
      <c r="L189">
        <f>Table1[[#This Row],[Sales]]*Table1[[#This Row],[Discount]]</f>
        <v>8793.1200000000008</v>
      </c>
      <c r="M189">
        <f>Table1[[#This Row],[Sales]]-Table1[[#This Row],[dis]]</f>
        <v>116822.88</v>
      </c>
      <c r="N189">
        <v>7.0000000000000007E-2</v>
      </c>
      <c r="O189" t="s">
        <v>18</v>
      </c>
      <c r="P189" t="s">
        <v>73</v>
      </c>
    </row>
    <row r="190" spans="1:16">
      <c r="A190">
        <v>1189</v>
      </c>
      <c r="B190" s="30" t="s">
        <v>254</v>
      </c>
      <c r="C190" s="33">
        <f>MONTH(Table1[[#This Row],[Date]])</f>
        <v>12</v>
      </c>
      <c r="D190" t="s">
        <v>28</v>
      </c>
      <c r="E190" t="s">
        <v>29</v>
      </c>
      <c r="F190" t="s">
        <v>23</v>
      </c>
      <c r="G190" t="s">
        <v>24</v>
      </c>
      <c r="H190" t="s">
        <v>25</v>
      </c>
      <c r="I190">
        <v>1</v>
      </c>
      <c r="J190">
        <v>676</v>
      </c>
      <c r="K190">
        <f>Table1[[#This Row],[Quantity]]*Table1[[#This Row],[Unit Price]]</f>
        <v>676</v>
      </c>
      <c r="L190">
        <f>Table1[[#This Row],[Sales]]*Table1[[#This Row],[Discount]]</f>
        <v>0</v>
      </c>
      <c r="M190">
        <f>Table1[[#This Row],[Sales]]-Table1[[#This Row],[dis]]</f>
        <v>676</v>
      </c>
      <c r="N190">
        <v>0</v>
      </c>
      <c r="O190" t="s">
        <v>18</v>
      </c>
      <c r="P190" t="s">
        <v>44</v>
      </c>
    </row>
    <row r="191" spans="1:16">
      <c r="A191">
        <v>1190</v>
      </c>
      <c r="B191" s="30" t="s">
        <v>195</v>
      </c>
      <c r="C191" s="33">
        <f>MONTH(Table1[[#This Row],[Date]])</f>
        <v>10</v>
      </c>
      <c r="D191" t="s">
        <v>69</v>
      </c>
      <c r="E191" t="s">
        <v>75</v>
      </c>
      <c r="F191" t="s">
        <v>30</v>
      </c>
      <c r="G191" t="s">
        <v>66</v>
      </c>
      <c r="H191" t="s">
        <v>142</v>
      </c>
      <c r="I191">
        <v>2</v>
      </c>
      <c r="J191">
        <v>47109</v>
      </c>
      <c r="K191">
        <f>Table1[[#This Row],[Quantity]]*Table1[[#This Row],[Unit Price]]</f>
        <v>94218</v>
      </c>
      <c r="L191">
        <f>Table1[[#This Row],[Sales]]*Table1[[#This Row],[Discount]]</f>
        <v>14132.699999999999</v>
      </c>
      <c r="M191">
        <f>Table1[[#This Row],[Sales]]-Table1[[#This Row],[dis]]</f>
        <v>80085.3</v>
      </c>
      <c r="N191">
        <v>0.15</v>
      </c>
      <c r="O191" t="s">
        <v>18</v>
      </c>
      <c r="P191" t="s">
        <v>103</v>
      </c>
    </row>
    <row r="192" spans="1:16">
      <c r="A192">
        <v>1191</v>
      </c>
      <c r="B192" s="30" t="s">
        <v>255</v>
      </c>
      <c r="C192" s="33">
        <f>MONTH(Table1[[#This Row],[Date]])</f>
        <v>2</v>
      </c>
      <c r="D192" t="s">
        <v>13</v>
      </c>
      <c r="E192" t="s">
        <v>141</v>
      </c>
      <c r="F192" t="s">
        <v>41</v>
      </c>
      <c r="G192" t="s">
        <v>47</v>
      </c>
      <c r="H192" t="s">
        <v>129</v>
      </c>
      <c r="I192">
        <v>7</v>
      </c>
      <c r="J192">
        <v>17133</v>
      </c>
      <c r="K192">
        <f>Table1[[#This Row],[Quantity]]*Table1[[#This Row],[Unit Price]]</f>
        <v>119931</v>
      </c>
      <c r="L192">
        <f>Table1[[#This Row],[Sales]]*Table1[[#This Row],[Discount]]</f>
        <v>7195.86</v>
      </c>
      <c r="M192">
        <f>Table1[[#This Row],[Sales]]-Table1[[#This Row],[dis]]</f>
        <v>112735.14</v>
      </c>
      <c r="N192">
        <v>0.06</v>
      </c>
      <c r="O192" t="s">
        <v>18</v>
      </c>
      <c r="P192" t="s">
        <v>39</v>
      </c>
    </row>
    <row r="193" spans="1:16">
      <c r="A193">
        <v>1192</v>
      </c>
      <c r="B193" s="30" t="s">
        <v>191</v>
      </c>
      <c r="C193" s="33">
        <f>MONTH(Table1[[#This Row],[Date]])</f>
        <v>6</v>
      </c>
      <c r="D193" t="s">
        <v>69</v>
      </c>
      <c r="E193" t="s">
        <v>75</v>
      </c>
      <c r="F193" t="s">
        <v>23</v>
      </c>
      <c r="G193" t="s">
        <v>24</v>
      </c>
      <c r="H193" t="s">
        <v>98</v>
      </c>
      <c r="I193">
        <v>5</v>
      </c>
      <c r="J193">
        <v>17004</v>
      </c>
      <c r="K193">
        <f>Table1[[#This Row],[Quantity]]*Table1[[#This Row],[Unit Price]]</f>
        <v>85020</v>
      </c>
      <c r="L193">
        <f>Table1[[#This Row],[Sales]]*Table1[[#This Row],[Discount]]</f>
        <v>4251</v>
      </c>
      <c r="M193">
        <f>Table1[[#This Row],[Sales]]-Table1[[#This Row],[dis]]</f>
        <v>80769</v>
      </c>
      <c r="N193">
        <v>0.05</v>
      </c>
      <c r="O193" t="s">
        <v>18</v>
      </c>
      <c r="P193" t="s">
        <v>73</v>
      </c>
    </row>
    <row r="194" spans="1:16">
      <c r="A194">
        <v>1193</v>
      </c>
      <c r="B194" s="30" t="s">
        <v>256</v>
      </c>
      <c r="C194" s="33">
        <f>MONTH(Table1[[#This Row],[Date]])</f>
        <v>7</v>
      </c>
      <c r="D194" t="s">
        <v>69</v>
      </c>
      <c r="E194" t="s">
        <v>72</v>
      </c>
      <c r="F194" t="s">
        <v>41</v>
      </c>
      <c r="G194" t="s">
        <v>76</v>
      </c>
      <c r="H194" t="s">
        <v>106</v>
      </c>
      <c r="I194">
        <v>8</v>
      </c>
      <c r="J194">
        <v>39371</v>
      </c>
      <c r="K194">
        <f>Table1[[#This Row],[Quantity]]*Table1[[#This Row],[Unit Price]]</f>
        <v>314968</v>
      </c>
      <c r="L194">
        <f>Table1[[#This Row],[Sales]]*Table1[[#This Row],[Discount]]</f>
        <v>56694.239999999998</v>
      </c>
      <c r="M194">
        <f>Table1[[#This Row],[Sales]]-Table1[[#This Row],[dis]]</f>
        <v>258273.76</v>
      </c>
      <c r="N194">
        <v>0.18</v>
      </c>
      <c r="O194" t="s">
        <v>33</v>
      </c>
      <c r="P194" t="s">
        <v>63</v>
      </c>
    </row>
    <row r="195" spans="1:16">
      <c r="A195">
        <v>1194</v>
      </c>
      <c r="B195" s="30" t="s">
        <v>119</v>
      </c>
      <c r="C195" s="33">
        <f>MONTH(Table1[[#This Row],[Date]])</f>
        <v>5</v>
      </c>
      <c r="D195" t="s">
        <v>69</v>
      </c>
      <c r="E195" t="s">
        <v>72</v>
      </c>
      <c r="F195" t="s">
        <v>23</v>
      </c>
      <c r="G195" t="s">
        <v>155</v>
      </c>
      <c r="H195" t="s">
        <v>193</v>
      </c>
      <c r="I195">
        <v>1</v>
      </c>
      <c r="J195">
        <v>29158</v>
      </c>
      <c r="K195">
        <f>Table1[[#This Row],[Quantity]]*Table1[[#This Row],[Unit Price]]</f>
        <v>29158</v>
      </c>
      <c r="L195">
        <f>Table1[[#This Row],[Sales]]*Table1[[#This Row],[Discount]]</f>
        <v>3207.38</v>
      </c>
      <c r="M195">
        <f>Table1[[#This Row],[Sales]]-Table1[[#This Row],[dis]]</f>
        <v>25950.62</v>
      </c>
      <c r="N195">
        <v>0.11</v>
      </c>
      <c r="O195" t="s">
        <v>33</v>
      </c>
      <c r="P195" t="s">
        <v>34</v>
      </c>
    </row>
    <row r="196" spans="1:16">
      <c r="A196">
        <v>1195</v>
      </c>
      <c r="B196" s="30" t="s">
        <v>257</v>
      </c>
      <c r="C196" s="33">
        <f>MONTH(Table1[[#This Row],[Date]])</f>
        <v>6</v>
      </c>
      <c r="D196" t="s">
        <v>13</v>
      </c>
      <c r="E196" t="s">
        <v>93</v>
      </c>
      <c r="F196" t="s">
        <v>41</v>
      </c>
      <c r="G196" t="s">
        <v>115</v>
      </c>
      <c r="H196" t="s">
        <v>116</v>
      </c>
      <c r="I196">
        <v>3</v>
      </c>
      <c r="J196">
        <v>3114</v>
      </c>
      <c r="K196">
        <f>Table1[[#This Row],[Quantity]]*Table1[[#This Row],[Unit Price]]</f>
        <v>9342</v>
      </c>
      <c r="L196">
        <f>Table1[[#This Row],[Sales]]*Table1[[#This Row],[Discount]]</f>
        <v>1401.3</v>
      </c>
      <c r="M196">
        <f>Table1[[#This Row],[Sales]]-Table1[[#This Row],[dis]]</f>
        <v>7940.7</v>
      </c>
      <c r="N196">
        <v>0.15</v>
      </c>
      <c r="O196" t="s">
        <v>33</v>
      </c>
      <c r="P196" t="s">
        <v>73</v>
      </c>
    </row>
    <row r="197" spans="1:16">
      <c r="A197">
        <v>1196</v>
      </c>
      <c r="B197" s="30" t="s">
        <v>258</v>
      </c>
      <c r="C197" s="33">
        <f>MONTH(Table1[[#This Row],[Date]])</f>
        <v>10</v>
      </c>
      <c r="D197" t="s">
        <v>21</v>
      </c>
      <c r="E197" t="s">
        <v>60</v>
      </c>
      <c r="F197" t="s">
        <v>30</v>
      </c>
      <c r="G197" t="s">
        <v>66</v>
      </c>
      <c r="H197" t="s">
        <v>142</v>
      </c>
      <c r="I197">
        <v>10</v>
      </c>
      <c r="J197">
        <v>26511</v>
      </c>
      <c r="K197">
        <f>Table1[[#This Row],[Quantity]]*Table1[[#This Row],[Unit Price]]</f>
        <v>265110</v>
      </c>
      <c r="L197">
        <f>Table1[[#This Row],[Sales]]*Table1[[#This Row],[Discount]]</f>
        <v>13255.5</v>
      </c>
      <c r="M197">
        <f>Table1[[#This Row],[Sales]]-Table1[[#This Row],[dis]]</f>
        <v>251854.5</v>
      </c>
      <c r="N197">
        <v>0.05</v>
      </c>
      <c r="O197" t="s">
        <v>18</v>
      </c>
      <c r="P197" t="s">
        <v>73</v>
      </c>
    </row>
    <row r="198" spans="1:16">
      <c r="A198">
        <v>1197</v>
      </c>
      <c r="B198" s="30" t="s">
        <v>259</v>
      </c>
      <c r="C198" s="33">
        <f>MONTH(Table1[[#This Row],[Date]])</f>
        <v>11</v>
      </c>
      <c r="D198" t="s">
        <v>28</v>
      </c>
      <c r="E198" t="s">
        <v>58</v>
      </c>
      <c r="F198" t="s">
        <v>41</v>
      </c>
      <c r="G198" t="s">
        <v>47</v>
      </c>
      <c r="H198" t="s">
        <v>135</v>
      </c>
      <c r="I198">
        <v>8</v>
      </c>
      <c r="J198">
        <v>44501</v>
      </c>
      <c r="K198">
        <f>Table1[[#This Row],[Quantity]]*Table1[[#This Row],[Unit Price]]</f>
        <v>356008</v>
      </c>
      <c r="L198">
        <f>Table1[[#This Row],[Sales]]*Table1[[#This Row],[Discount]]</f>
        <v>67641.52</v>
      </c>
      <c r="M198">
        <f>Table1[[#This Row],[Sales]]-Table1[[#This Row],[dis]]</f>
        <v>288366.48</v>
      </c>
      <c r="N198">
        <v>0.19</v>
      </c>
      <c r="O198" t="s">
        <v>18</v>
      </c>
      <c r="P198" t="s">
        <v>103</v>
      </c>
    </row>
    <row r="199" spans="1:16">
      <c r="A199">
        <v>1198</v>
      </c>
      <c r="B199" s="30" t="s">
        <v>260</v>
      </c>
      <c r="C199" s="33">
        <f>MONTH(Table1[[#This Row],[Date]])</f>
        <v>8</v>
      </c>
      <c r="D199" t="s">
        <v>28</v>
      </c>
      <c r="E199" t="s">
        <v>58</v>
      </c>
      <c r="F199" t="s">
        <v>41</v>
      </c>
      <c r="G199" t="s">
        <v>47</v>
      </c>
      <c r="H199" t="s">
        <v>135</v>
      </c>
      <c r="I199">
        <v>4</v>
      </c>
      <c r="J199">
        <v>14660</v>
      </c>
      <c r="K199">
        <f>Table1[[#This Row],[Quantity]]*Table1[[#This Row],[Unit Price]]</f>
        <v>58640</v>
      </c>
      <c r="L199">
        <f>Table1[[#This Row],[Sales]]*Table1[[#This Row],[Discount]]</f>
        <v>2345.6</v>
      </c>
      <c r="M199">
        <f>Table1[[#This Row],[Sales]]-Table1[[#This Row],[dis]]</f>
        <v>56294.400000000001</v>
      </c>
      <c r="N199">
        <v>0.04</v>
      </c>
      <c r="O199" t="s">
        <v>33</v>
      </c>
      <c r="P199" t="s">
        <v>73</v>
      </c>
    </row>
    <row r="200" spans="1:16">
      <c r="A200">
        <v>1199</v>
      </c>
      <c r="B200" s="30" t="s">
        <v>261</v>
      </c>
      <c r="C200" s="33">
        <f>MONTH(Table1[[#This Row],[Date]])</f>
        <v>5</v>
      </c>
      <c r="D200" t="s">
        <v>69</v>
      </c>
      <c r="E200" t="s">
        <v>111</v>
      </c>
      <c r="F200" t="s">
        <v>15</v>
      </c>
      <c r="G200" t="s">
        <v>16</v>
      </c>
      <c r="H200" t="s">
        <v>17</v>
      </c>
      <c r="I200">
        <v>5</v>
      </c>
      <c r="J200">
        <v>21924</v>
      </c>
      <c r="K200">
        <f>Table1[[#This Row],[Quantity]]*Table1[[#This Row],[Unit Price]]</f>
        <v>109620</v>
      </c>
      <c r="L200">
        <f>Table1[[#This Row],[Sales]]*Table1[[#This Row],[Discount]]</f>
        <v>18635.400000000001</v>
      </c>
      <c r="M200">
        <f>Table1[[#This Row],[Sales]]-Table1[[#This Row],[dis]]</f>
        <v>90984.6</v>
      </c>
      <c r="N200">
        <v>0.17</v>
      </c>
      <c r="O200" t="s">
        <v>18</v>
      </c>
      <c r="P200" t="s">
        <v>34</v>
      </c>
    </row>
    <row r="201" spans="1:16">
      <c r="A201">
        <v>1200</v>
      </c>
      <c r="B201" s="30" t="s">
        <v>262</v>
      </c>
      <c r="C201" s="33">
        <f>MONTH(Table1[[#This Row],[Date]])</f>
        <v>8</v>
      </c>
      <c r="D201" t="s">
        <v>69</v>
      </c>
      <c r="E201" t="s">
        <v>75</v>
      </c>
      <c r="F201" t="s">
        <v>41</v>
      </c>
      <c r="G201" t="s">
        <v>47</v>
      </c>
      <c r="H201" t="s">
        <v>48</v>
      </c>
      <c r="I201">
        <v>7</v>
      </c>
      <c r="J201">
        <v>43886</v>
      </c>
      <c r="K201">
        <f>Table1[[#This Row],[Quantity]]*Table1[[#This Row],[Unit Price]]</f>
        <v>307202</v>
      </c>
      <c r="L201">
        <f>Table1[[#This Row],[Sales]]*Table1[[#This Row],[Discount]]</f>
        <v>21504.140000000003</v>
      </c>
      <c r="M201">
        <f>Table1[[#This Row],[Sales]]-Table1[[#This Row],[dis]]</f>
        <v>285697.86</v>
      </c>
      <c r="N201">
        <v>7.0000000000000007E-2</v>
      </c>
      <c r="O201" t="s">
        <v>33</v>
      </c>
      <c r="P201" t="s">
        <v>103</v>
      </c>
    </row>
  </sheetData>
  <conditionalFormatting sqref="L202:L1048576 M1:M201">
    <cfRule type="top10" dxfId="4" priority="1" percent="1" rank="10"/>
  </conditionalFormatting>
  <conditionalFormatting sqref="L202:L1048576">
    <cfRule type="top10" dxfId="3" priority="2" bottom="1" rank="10"/>
    <cfRule type="top10" dxfId="2" priority="3" rank="10"/>
    <cfRule type="top10" priority="4" rank="10"/>
    <cfRule type="top10" dxfId="1" priority="5" bottom="1" rank="10"/>
    <cfRule type="top10" dxfId="0" priority="6" rank="10"/>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A7C9D-BF07-4C7C-A6D3-52D689B2832A}">
  <dimension ref="A1:L192"/>
  <sheetViews>
    <sheetView topLeftCell="A34" zoomScale="85" zoomScaleNormal="85" workbookViewId="0">
      <selection activeCell="J8" sqref="J8"/>
    </sheetView>
  </sheetViews>
  <sheetFormatPr defaultRowHeight="14.4"/>
  <sheetData>
    <row r="1" spans="1:12">
      <c r="B1" s="3"/>
      <c r="C1" s="2"/>
      <c r="D1" s="2"/>
      <c r="E1" s="2"/>
      <c r="F1" s="2"/>
      <c r="G1" s="2"/>
      <c r="H1" s="2"/>
      <c r="I1" s="2"/>
      <c r="J1" s="2"/>
      <c r="K1" s="2"/>
      <c r="L1" s="2"/>
    </row>
    <row r="2" spans="1:12">
      <c r="A2" s="4" t="s">
        <v>264</v>
      </c>
      <c r="B2" s="3"/>
      <c r="C2" s="2"/>
      <c r="D2" s="2"/>
      <c r="E2" s="2"/>
      <c r="F2" s="2"/>
      <c r="G2" s="2"/>
      <c r="H2" s="2"/>
      <c r="I2" s="2"/>
      <c r="J2" s="2"/>
      <c r="K2" s="2"/>
      <c r="L2" s="2"/>
    </row>
    <row r="3" spans="1:12">
      <c r="B3" s="3"/>
      <c r="C3" s="2"/>
      <c r="D3" s="2"/>
      <c r="E3" s="2"/>
      <c r="F3" s="2"/>
      <c r="G3" s="2"/>
      <c r="H3" s="2"/>
      <c r="I3" s="2"/>
      <c r="J3" s="2"/>
      <c r="K3" s="2"/>
      <c r="L3" s="2"/>
    </row>
    <row r="4" spans="1:12">
      <c r="A4" s="4" t="s">
        <v>265</v>
      </c>
    </row>
    <row r="5" spans="1:12">
      <c r="A5" s="5"/>
    </row>
    <row r="6" spans="1:12">
      <c r="A6" s="5" t="s">
        <v>266</v>
      </c>
    </row>
    <row r="7" spans="1:12">
      <c r="A7" s="5"/>
    </row>
    <row r="8" spans="1:12">
      <c r="A8" s="5" t="s">
        <v>267</v>
      </c>
    </row>
    <row r="9" spans="1:12">
      <c r="A9" s="5"/>
    </row>
    <row r="10" spans="1:12">
      <c r="A10" s="5" t="s">
        <v>268</v>
      </c>
    </row>
    <row r="11" spans="1:12">
      <c r="A11" s="5"/>
    </row>
    <row r="12" spans="1:12">
      <c r="A12" s="5" t="s">
        <v>269</v>
      </c>
    </row>
    <row r="13" spans="1:12">
      <c r="A13" s="5"/>
    </row>
    <row r="14" spans="1:12">
      <c r="A14" s="5" t="s">
        <v>270</v>
      </c>
    </row>
    <row r="17" spans="1:1">
      <c r="A17" s="4" t="s">
        <v>290</v>
      </c>
    </row>
    <row r="19" spans="1:1">
      <c r="A19" s="4" t="s">
        <v>265</v>
      </c>
    </row>
    <row r="20" spans="1:1">
      <c r="A20" s="5"/>
    </row>
    <row r="21" spans="1:1">
      <c r="A21" s="5" t="s">
        <v>271</v>
      </c>
    </row>
    <row r="22" spans="1:1">
      <c r="A22" s="5"/>
    </row>
    <row r="23" spans="1:1">
      <c r="A23" s="5" t="s">
        <v>272</v>
      </c>
    </row>
    <row r="24" spans="1:1">
      <c r="A24" s="5"/>
    </row>
    <row r="25" spans="1:1">
      <c r="A25" s="5" t="s">
        <v>273</v>
      </c>
    </row>
    <row r="26" spans="1:1">
      <c r="A26" s="5"/>
    </row>
    <row r="27" spans="1:1">
      <c r="A27" s="5" t="s">
        <v>274</v>
      </c>
    </row>
    <row r="28" spans="1:1">
      <c r="A28" s="5"/>
    </row>
    <row r="29" spans="1:1">
      <c r="A29" s="5"/>
    </row>
    <row r="30" spans="1:1">
      <c r="A30" s="6"/>
    </row>
    <row r="31" spans="1:1">
      <c r="A31" s="6" t="s">
        <v>275</v>
      </c>
    </row>
    <row r="32" spans="1:1">
      <c r="A32" s="6"/>
    </row>
    <row r="33" spans="1:1">
      <c r="A33" s="6" t="s">
        <v>276</v>
      </c>
    </row>
    <row r="34" spans="1:1">
      <c r="A34" s="6"/>
    </row>
    <row r="35" spans="1:1">
      <c r="A35" s="6" t="s">
        <v>277</v>
      </c>
    </row>
    <row r="37" spans="1:1">
      <c r="A37" s="4" t="s">
        <v>278</v>
      </c>
    </row>
    <row r="40" spans="1:1">
      <c r="A40" s="4" t="s">
        <v>279</v>
      </c>
    </row>
    <row r="42" spans="1:1">
      <c r="A42" s="4" t="s">
        <v>280</v>
      </c>
    </row>
    <row r="43" spans="1:1">
      <c r="A43" s="5"/>
    </row>
    <row r="44" spans="1:1">
      <c r="A44" s="5" t="s">
        <v>281</v>
      </c>
    </row>
    <row r="45" spans="1:1">
      <c r="A45" s="5"/>
    </row>
    <row r="46" spans="1:1">
      <c r="A46" s="5" t="s">
        <v>282</v>
      </c>
    </row>
    <row r="47" spans="1:1">
      <c r="A47" s="5"/>
    </row>
    <row r="48" spans="1:1">
      <c r="A48" s="5" t="s">
        <v>283</v>
      </c>
    </row>
    <row r="49" spans="1:1">
      <c r="A49" s="6" t="s">
        <v>263</v>
      </c>
    </row>
    <row r="50" spans="1:1">
      <c r="A50" s="6"/>
    </row>
    <row r="51" spans="1:1">
      <c r="A51" s="6" t="s">
        <v>276</v>
      </c>
    </row>
    <row r="52" spans="1:1">
      <c r="A52" s="6"/>
    </row>
    <row r="53" spans="1:1">
      <c r="A53" s="6" t="s">
        <v>277</v>
      </c>
    </row>
    <row r="54" spans="1:1">
      <c r="A54" s="6"/>
    </row>
    <row r="55" spans="1:1">
      <c r="A55" s="6" t="s">
        <v>284</v>
      </c>
    </row>
    <row r="56" spans="1:1">
      <c r="A56" s="5"/>
    </row>
    <row r="57" spans="1:1">
      <c r="A57" s="5" t="s">
        <v>285</v>
      </c>
    </row>
    <row r="58" spans="1:1">
      <c r="A58" s="6"/>
    </row>
    <row r="59" spans="1:1">
      <c r="A59" s="6" t="s">
        <v>286</v>
      </c>
    </row>
    <row r="60" spans="1:1">
      <c r="A60" s="6"/>
    </row>
    <row r="61" spans="1:1">
      <c r="A61" s="6" t="s">
        <v>287</v>
      </c>
    </row>
    <row r="62" spans="1:1">
      <c r="A62" s="6"/>
    </row>
    <row r="63" spans="1:1">
      <c r="A63" s="6" t="s">
        <v>288</v>
      </c>
    </row>
    <row r="65" spans="1:1">
      <c r="A65" s="4" t="s">
        <v>289</v>
      </c>
    </row>
    <row r="88" spans="1:1" ht="23.4">
      <c r="A88" s="7"/>
    </row>
    <row r="90" spans="1:1">
      <c r="A90" s="4"/>
    </row>
    <row r="92" spans="1:1">
      <c r="A92" s="4"/>
    </row>
    <row r="93" spans="1:1">
      <c r="A93" s="5"/>
    </row>
    <row r="94" spans="1:1">
      <c r="A94" s="5"/>
    </row>
    <row r="95" spans="1:1">
      <c r="A95" s="5"/>
    </row>
    <row r="96" spans="1:1">
      <c r="A96" s="5"/>
    </row>
    <row r="97" spans="1:1">
      <c r="A97" s="5"/>
    </row>
    <row r="98" spans="1:1">
      <c r="A98" s="5"/>
    </row>
    <row r="99" spans="1:1">
      <c r="A99" s="6"/>
    </row>
    <row r="100" spans="1:1">
      <c r="A100" s="9"/>
    </row>
    <row r="101" spans="1:1">
      <c r="A101" s="6"/>
    </row>
    <row r="102" spans="1:1">
      <c r="A102" s="9"/>
    </row>
    <row r="103" spans="1:1">
      <c r="A103" s="5"/>
    </row>
    <row r="104" spans="1:1">
      <c r="A104" s="5"/>
    </row>
    <row r="106" spans="1:1">
      <c r="A106" s="4"/>
    </row>
    <row r="110" spans="1:1" ht="23.4">
      <c r="A110" s="7"/>
    </row>
    <row r="112" spans="1:1">
      <c r="A112" s="4"/>
    </row>
    <row r="114" spans="1:1">
      <c r="A114" s="4"/>
    </row>
    <row r="115" spans="1:1">
      <c r="A115" s="5"/>
    </row>
    <row r="116" spans="1:1">
      <c r="A116" s="5"/>
    </row>
    <row r="117" spans="1:1">
      <c r="A117" s="5"/>
    </row>
    <row r="118" spans="1:1">
      <c r="A118" s="5"/>
    </row>
    <row r="119" spans="1:1">
      <c r="A119" s="5"/>
    </row>
    <row r="120" spans="1:1">
      <c r="A120" s="5"/>
    </row>
    <row r="121" spans="1:1">
      <c r="A121" s="5"/>
    </row>
    <row r="122" spans="1:1">
      <c r="A122" s="5"/>
    </row>
    <row r="124" spans="1:1">
      <c r="A124" s="4"/>
    </row>
    <row r="128" spans="1:1" ht="23.4">
      <c r="A128" s="7"/>
    </row>
    <row r="167" spans="1:1">
      <c r="A167" s="4"/>
    </row>
    <row r="169" spans="1:1">
      <c r="A169" s="4"/>
    </row>
    <row r="170" spans="1:1">
      <c r="A170" s="5"/>
    </row>
    <row r="171" spans="1:1">
      <c r="A171" s="5"/>
    </row>
    <row r="172" spans="1:1">
      <c r="A172" s="8"/>
    </row>
    <row r="173" spans="1:1">
      <c r="A173" s="5"/>
    </row>
    <row r="174" spans="1:1">
      <c r="A174" s="5"/>
    </row>
    <row r="175" spans="1:1">
      <c r="A175" s="5"/>
    </row>
    <row r="176" spans="1:1">
      <c r="A176" s="5"/>
    </row>
    <row r="177" spans="1:1">
      <c r="A177" s="6"/>
    </row>
    <row r="178" spans="1:1">
      <c r="A178" s="6"/>
    </row>
    <row r="179" spans="1:1">
      <c r="A179" s="6"/>
    </row>
    <row r="180" spans="1:1">
      <c r="A180" s="6"/>
    </row>
    <row r="181" spans="1:1">
      <c r="A181" s="6"/>
    </row>
    <row r="182" spans="1:1">
      <c r="A182" s="6"/>
    </row>
    <row r="183" spans="1:1">
      <c r="A183" s="5"/>
    </row>
    <row r="184" spans="1:1">
      <c r="A184" s="5"/>
    </row>
    <row r="185" spans="1:1">
      <c r="A185" s="5"/>
    </row>
    <row r="186" spans="1:1">
      <c r="A186" s="5"/>
    </row>
    <row r="188" spans="1:1">
      <c r="A188" s="4"/>
    </row>
    <row r="192" spans="1:1" ht="31.2">
      <c r="A192"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741AD-EED4-4CD1-A6C3-D7D5CDDD295D}">
  <dimension ref="A1"/>
  <sheetViews>
    <sheetView showGridLines="0" workbookViewId="0">
      <selection activeCell="W1" sqref="W1"/>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Pivot_Table_1</vt:lpstr>
      <vt:lpstr>Pivot_Table_2</vt:lpstr>
      <vt:lpstr>Dashboard_2</vt:lpstr>
      <vt:lpstr>Pivot_Table-3</vt:lpstr>
      <vt:lpstr>DashBoard-3</vt:lpstr>
      <vt:lpstr>RetailSales</vt:lpstr>
      <vt:lpstr>Sheet1</vt:lpstr>
      <vt:lpstr>Dashboard_1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Smit Sathavara</cp:lastModifiedBy>
  <dcterms:created xsi:type="dcterms:W3CDTF">2025-11-23T05:58:28Z</dcterms:created>
  <dcterms:modified xsi:type="dcterms:W3CDTF">2026-02-06T04:14:58Z</dcterms:modified>
</cp:coreProperties>
</file>